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95b1d0088339f0f/Documents/"/>
    </mc:Choice>
  </mc:AlternateContent>
  <xr:revisionPtr revIDLastSave="210" documentId="8_{D195CFF7-A48A-4780-90C5-247CED41765B}" xr6:coauthVersionLast="47" xr6:coauthVersionMax="47" xr10:uidLastSave="{FD35F88A-6EE9-4FD3-80C9-62E9391C498B}"/>
  <bookViews>
    <workbookView xWindow="-108" yWindow="-108" windowWidth="23256" windowHeight="13896" xr2:uid="{00000000-000D-0000-FFFF-FFFF00000000}"/>
  </bookViews>
  <sheets>
    <sheet name="Fund A vs Fund B Monthly Return" sheetId="2" r:id="rId1"/>
    <sheet name="Interest Rates and Loan Applica" sheetId="1" r:id="rId2"/>
    <sheet name="Sector Monthly Returns Comparis" sheetId="3" r:id="rId3"/>
    <sheet name="Unemployment and Default Ra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 i="4" l="1"/>
  <c r="H7" i="2" l="1"/>
  <c r="I7" i="2"/>
  <c r="I6" i="1" l="1"/>
  <c r="H6" i="1"/>
</calcChain>
</file>

<file path=xl/sharedStrings.xml><?xml version="1.0" encoding="utf-8"?>
<sst xmlns="http://schemas.openxmlformats.org/spreadsheetml/2006/main" count="312" uniqueCount="186">
  <si>
    <t>A retail bank noticed that the number of loan applications seems to change with movements in the policy interest rate. The risk team provided monthly data for a year.
Question:
Is there a relationship between the interest rate and the number of loan applications?</t>
  </si>
  <si>
    <t>Month</t>
  </si>
  <si>
    <t>Interest Rate (%)</t>
  </si>
  <si>
    <t>Loan Applications (No.)</t>
  </si>
  <si>
    <t>Jan</t>
  </si>
  <si>
    <t>Feb</t>
  </si>
  <si>
    <t>Mar</t>
  </si>
  <si>
    <t>Apr</t>
  </si>
  <si>
    <t>May</t>
  </si>
  <si>
    <t>Jun</t>
  </si>
  <si>
    <t>Jul</t>
  </si>
  <si>
    <t>Aug</t>
  </si>
  <si>
    <t>Sep</t>
  </si>
  <si>
    <t>Oct</t>
  </si>
  <si>
    <t>Nov</t>
  </si>
  <si>
    <t>Dec</t>
  </si>
  <si>
    <t>An investment manager ran two mutual funds with slightly different strategies. The team wants to evaluate which fund produced higher monthly returns over the past two years.
Question:
Based on monthly returns, is there evidence that one fund outperformed the other?</t>
  </si>
  <si>
    <t>Fund A Return (%)</t>
  </si>
  <si>
    <t>Fund B Return (%)</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</si>
  <si>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</si>
  <si>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</si>
  <si>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</si>
  <si>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</si>
  <si>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</si>
  <si>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</si>
  <si>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</si>
  <si>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</si>
  <si>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</si>
  <si>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</si>
  <si>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</si>
  <si>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</si>
  <si>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</si>
  <si>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</si>
  <si>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</si>
  <si>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</si>
  <si>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</si>
  <si>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</si>
  <si>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</si>
  <si>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</si>
  <si>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</si>
  <si>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</si>
  <si>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</si>
  <si>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</si>
  <si>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A portfolio analyst collected monthly returns for three sectors (Banking, IT, FMCG) over multiple observations. Management wants to know if average returns differ by sector.
Question:
Do average monthly returns vary across these three sectors?</t>
  </si>
  <si>
    <t>Observation</t>
  </si>
  <si>
    <t>Banking</t>
  </si>
  <si>
    <t>IT</t>
  </si>
  <si>
    <t>FMCG</t>
  </si>
  <si>
    <t>A lender tracks regional unemployment rates and the monthly loan default rate. The credit team wants to know if changes in unemployment help predict defaults.
Question:
Can unemployment rate be used to predict the default rate?</t>
  </si>
  <si>
    <t>Unemployment Rate (%)</t>
  </si>
  <si>
    <t>Default Rate (%)</t>
  </si>
  <si>
    <t>step 1</t>
  </si>
  <si>
    <t>is the given input data or information</t>
  </si>
  <si>
    <t xml:space="preserve">yes  it is data </t>
  </si>
  <si>
    <t>relevent fills are highlighted</t>
  </si>
  <si>
    <t>step 2</t>
  </si>
  <si>
    <t>is the data of right quality</t>
  </si>
  <si>
    <t>blank</t>
  </si>
  <si>
    <t>duplicate</t>
  </si>
  <si>
    <t xml:space="preserve">yes  </t>
  </si>
  <si>
    <t>missing data is not exist,duplicate is not also exist,outlier is not exist , redendent is not exist,if you make the data quality rightthen write yes data has been right quality</t>
  </si>
  <si>
    <t>step 3</t>
  </si>
  <si>
    <t>is the problem worth investigating</t>
  </si>
  <si>
    <t>yes it requires further investigation</t>
  </si>
  <si>
    <t>step 4</t>
  </si>
  <si>
    <t>problem statement /hypothesis</t>
  </si>
  <si>
    <t>h0 null</t>
  </si>
  <si>
    <t>h1 alternate</t>
  </si>
  <si>
    <t>step 5</t>
  </si>
  <si>
    <t>identify which test to do hypothesis</t>
  </si>
  <si>
    <t>(if the data is numeric , and you are looking for the relation between to variables the you use coorelation )</t>
  </si>
  <si>
    <t xml:space="preserve">coorelation </t>
  </si>
  <si>
    <t>step 6</t>
  </si>
  <si>
    <t>excute the test</t>
  </si>
  <si>
    <t xml:space="preserve">step 7 </t>
  </si>
  <si>
    <t>file&gt;option&gt;ads in&gt; manage (go)&gt;analysis toolpack</t>
  </si>
  <si>
    <t>data&gt;data analysis&gt;coorelation &gt;range including header &gt;first row label&gt;select where you want to output</t>
  </si>
  <si>
    <t xml:space="preserve">(if the value is close to +/-1 there is strong coorelation either negative or positive </t>
  </si>
  <si>
    <t xml:space="preserve">&gt;0.8 strong coorelation, between 0.6 to 0.8 moderate coorelation , between 0.5 to 0.6 weak coorelation, below 0.4 no relation </t>
  </si>
  <si>
    <t xml:space="preserve">weak negative coorelation </t>
  </si>
  <si>
    <t>step 8</t>
  </si>
  <si>
    <t xml:space="preserve">findings  </t>
  </si>
  <si>
    <t>1.the coorelation value -0.41 , hence there is weak negative coorelation between interest rate and application</t>
  </si>
  <si>
    <t xml:space="preserve">there is strong relationship between interest and application </t>
  </si>
  <si>
    <t xml:space="preserve">there is no strong relationship between interest and application </t>
  </si>
  <si>
    <t xml:space="preserve">2. basis this findings we accept the null hypothesis </t>
  </si>
  <si>
    <t>step 9</t>
  </si>
  <si>
    <t xml:space="preserve">recommendations </t>
  </si>
  <si>
    <t xml:space="preserve">additional parameter should be included to check the coorelation ex. Gender , income category , location </t>
  </si>
  <si>
    <t xml:space="preserve">data size should be increase across years </t>
  </si>
  <si>
    <t xml:space="preserve">once the data  is avilable the same step should be follwed to get insights to take which will help business to take meaningfull decision </t>
  </si>
  <si>
    <t xml:space="preserve">given that there is negative weak corelation between interest and loan application it is recommedted </t>
  </si>
  <si>
    <t xml:space="preserve">there is significant difference between perfomance in both the funds </t>
  </si>
  <si>
    <t xml:space="preserve">there is no significant difference between perfomance in both the funds </t>
  </si>
  <si>
    <t xml:space="preserve">step 5 </t>
  </si>
  <si>
    <t xml:space="preserve">identify which test to run to do hypothesis </t>
  </si>
  <si>
    <t>when there are two varibake atelast one is numeric ,data size is less than 30 and you want to find there is significant difference in both the variables .if all these are true then we run a t-test</t>
  </si>
  <si>
    <t>excute</t>
  </si>
  <si>
    <t>t-Test: Paired Two Sample for Means</t>
  </si>
  <si>
    <t>Mean</t>
  </si>
  <si>
    <t>Variance</t>
  </si>
  <si>
    <t>Observations</t>
  </si>
  <si>
    <t>Pearson Correlation</t>
  </si>
  <si>
    <t>Hypothesized Mean Difference</t>
  </si>
  <si>
    <t>df</t>
  </si>
  <si>
    <t>t Stat</t>
  </si>
  <si>
    <t>P(T&lt;=t) one-tail</t>
  </si>
  <si>
    <t>t Critical one-tail</t>
  </si>
  <si>
    <t>P(T&lt;=t) two-tail</t>
  </si>
  <si>
    <t>t Critical two-tail</t>
  </si>
  <si>
    <t xml:space="preserve">fund b average better than fund a </t>
  </si>
  <si>
    <t>(if the p value  is less than 0.05then it is significant )</t>
  </si>
  <si>
    <t>fund b avg return is 16% higher than a but it is not significant as the two -tail p value is&gt; 0.05</t>
  </si>
  <si>
    <t xml:space="preserve">we accept the null hypothesis as there is no significant difference </t>
  </si>
  <si>
    <t>as there is difference of 16% between both the funds and still not signnificant the following steps are recommeded</t>
  </si>
  <si>
    <t>do industry bechmark for each fund in their respective category to check perfomace level</t>
  </si>
  <si>
    <t>check if  fund b actually be comapre wiith fund a or some other fund within same category</t>
  </si>
  <si>
    <t xml:space="preserve">once the data available ,re run whole analysis again to get potetnial better actionable insights </t>
  </si>
  <si>
    <t>h0</t>
  </si>
  <si>
    <t>h1</t>
  </si>
  <si>
    <t xml:space="preserve">there is significant difference in the avg return by the sector </t>
  </si>
  <si>
    <t xml:space="preserve">there is no significant difference in the avg return by the sector </t>
  </si>
  <si>
    <t>identify which test to run</t>
  </si>
  <si>
    <t xml:space="preserve">if there are more than two or more variable and they are numeric and you want know the significant of the difference of avg of them then you run anova </t>
  </si>
  <si>
    <t xml:space="preserve">anova </t>
  </si>
  <si>
    <t>Anova: Single Factor</t>
  </si>
  <si>
    <t>SUMMARY</t>
  </si>
  <si>
    <t>Groups</t>
  </si>
  <si>
    <t>Count</t>
  </si>
  <si>
    <t>Sum</t>
  </si>
  <si>
    <t>Average</t>
  </si>
  <si>
    <t>ANOVA</t>
  </si>
  <si>
    <t>Source of Variation</t>
  </si>
  <si>
    <t>SS</t>
  </si>
  <si>
    <t>MS</t>
  </si>
  <si>
    <t>F</t>
  </si>
  <si>
    <t>P-value</t>
  </si>
  <si>
    <t>F crit</t>
  </si>
  <si>
    <t>Between Groups</t>
  </si>
  <si>
    <t>Within Groups</t>
  </si>
  <si>
    <t>Total</t>
  </si>
  <si>
    <t xml:space="preserve">there is a difference in the avg </t>
  </si>
  <si>
    <t xml:space="preserve">p&gt;0.05 means significant </t>
  </si>
  <si>
    <t xml:space="preserve">if pvalue has e that is 0 </t>
  </si>
  <si>
    <t xml:space="preserve">if f value greater than f criti value than it is signficant </t>
  </si>
  <si>
    <t xml:space="preserve">as the p value less than 0.05 , we reject the null hypothesis </t>
  </si>
  <si>
    <t xml:space="preserve">recommedation </t>
  </si>
  <si>
    <t xml:space="preserve">it is recoomended that we sell the it more because returns are aggressive </t>
  </si>
  <si>
    <t xml:space="preserve">use the best practice of these two variables and explore how banking avg return can also be improved </t>
  </si>
  <si>
    <t xml:space="preserve">once these is done run this analysis again to review findings and get better actionable insights </t>
  </si>
  <si>
    <t>M25</t>
  </si>
  <si>
    <t>?</t>
  </si>
  <si>
    <t>default rate can be predict by uneployement rate</t>
  </si>
  <si>
    <t>default rate can not be predict by uneployement rate</t>
  </si>
  <si>
    <t>which test to run</t>
  </si>
  <si>
    <t>type hypothisis according to case</t>
  </si>
  <si>
    <t>(whenever you want to predict and dependant variables data is numeric and its continues we use linear regression.when you have one independent variable .you use simple linear regression otherwise use multiple regression )</t>
  </si>
  <si>
    <t xml:space="preserve">linear regression </t>
  </si>
  <si>
    <t>execute the test</t>
  </si>
  <si>
    <t>SUMMARY OUTPUT</t>
  </si>
  <si>
    <t>Regression Statistics</t>
  </si>
  <si>
    <t>Multiple R</t>
  </si>
  <si>
    <t>R Square</t>
  </si>
  <si>
    <t>Adjusted R Square</t>
  </si>
  <si>
    <t>Standard Error</t>
  </si>
  <si>
    <t>Regression</t>
  </si>
  <si>
    <t>Residual</t>
  </si>
  <si>
    <t>Intercept</t>
  </si>
  <si>
    <t>Significance F</t>
  </si>
  <si>
    <t>Coefficients</t>
  </si>
  <si>
    <t>Lower 95%</t>
  </si>
  <si>
    <t>Upper 95%</t>
  </si>
  <si>
    <t>Lower 95.0%</t>
  </si>
  <si>
    <t>Upper 95.0%</t>
  </si>
  <si>
    <t>PROBABILITY OUTPUT</t>
  </si>
  <si>
    <t>Percentile</t>
  </si>
  <si>
    <t>multiple R  is nothing but co-relation</t>
  </si>
  <si>
    <t>moderate co-relation</t>
  </si>
  <si>
    <t>if f value is greater than significant f then it is significant.</t>
  </si>
  <si>
    <t>it is significant &lt;0.05</t>
  </si>
  <si>
    <t xml:space="preserve">to run regression data should be normal </t>
  </si>
  <si>
    <t xml:space="preserve">step 7 findings </t>
  </si>
  <si>
    <t>co-relagtion is moderately strong,anova values are significant,p value also significant hence we reject the null hypothesis</t>
  </si>
  <si>
    <t>default rate prediction</t>
  </si>
  <si>
    <t>Unemployment Rate prediction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</si>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</sst>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8">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2" fillId="2" borderId="0" xfId="0" applyFont="1" applyFill="1"/>
    <xf numFmtId="0" fontId="0" fillId="0" borderId="1" xfId="0" applyBorder="1"/>
    <xf numFmtId="0" fontId="2" fillId="2" borderId="1" xfId="0" applyFont="1" applyFill="1" applyBorder="1"/>
    <xf numFmtId="0" fontId="0" fillId="0" borderId="2" xfId="0" applyBorder="1"/>
    <xf numFmtId="0" fontId="2" fillId="3" borderId="2" xfId="0" applyFont="1" applyFill="1" applyBorder="1"/>
    <xf numFmtId="0" fontId="0" fillId="0" borderId="3" xfId="0" applyBorder="1"/>
    <xf numFmtId="0" fontId="3" fillId="0" borderId="4" xfId="0" applyFont="1" applyBorder="1" applyAlignment="1">
      <alignment horizontal="center"/>
    </xf>
    <xf numFmtId="0" fontId="0" fillId="2" borderId="3" xfId="0" applyFill="1" applyBorder="1"/>
    <xf numFmtId="0" fontId="0" fillId="2" borderId="1" xfId="0" applyFill="1" applyBorder="1"/>
    <xf numFmtId="0" fontId="0" fillId="2" borderId="0" xfId="0" applyFill="1"/>
    <xf numFmtId="0" fontId="0" fillId="4" borderId="0" xfId="0" applyFill="1"/>
    <xf numFmtId="0" fontId="0" fillId="0" borderId="0" xfId="0" applyAlignment="1">
      <alignment horizontal="left" vertical="center" wrapText="1"/>
    </xf>
    <xf numFmtId="0" fontId="3" fillId="0" borderId="4" xfId="0" applyFont="1" applyBorder="1" applyAlignment="1">
      <alignment horizontal="centerContinuous"/>
    </xf>
    <xf numFmtId="0" fontId="1" fillId="0" borderId="0" xfId="0" applyFont="1" applyAlignment="1">
      <alignment vertical="top" wrapText="1"/>
    </xf>
    <xf numFmtId="0" fontId="0" fillId="0" borderId="0" xfId="0"/>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'Fund A vs Fund B Monthly Return'!$H$9:$H$32</c:f>
              <c:numCache>
                <c:formatCode>General</c:formatCode>
                <c:ptCount val="24"/>
                <c:pt idx="0">
                  <c:v>0.57999999999999996</c:v>
                </c:pt>
                <c:pt idx="1">
                  <c:v>0.54</c:v>
                </c:pt>
                <c:pt idx="2">
                  <c:v>0.63</c:v>
                </c:pt>
                <c:pt idx="3">
                  <c:v>1.85</c:v>
                </c:pt>
                <c:pt idx="4">
                  <c:v>0.61</c:v>
                </c:pt>
                <c:pt idx="5">
                  <c:v>-1.45</c:v>
                </c:pt>
                <c:pt idx="6">
                  <c:v>1.3</c:v>
                </c:pt>
                <c:pt idx="7">
                  <c:v>0.4</c:v>
                </c:pt>
                <c:pt idx="8">
                  <c:v>0.47</c:v>
                </c:pt>
                <c:pt idx="9">
                  <c:v>0.97</c:v>
                </c:pt>
                <c:pt idx="10">
                  <c:v>1.1499999999999999</c:v>
                </c:pt>
                <c:pt idx="11">
                  <c:v>2.5499999999999998</c:v>
                </c:pt>
                <c:pt idx="12">
                  <c:v>1.78</c:v>
                </c:pt>
                <c:pt idx="13">
                  <c:v>0.97</c:v>
                </c:pt>
                <c:pt idx="14">
                  <c:v>-0.31</c:v>
                </c:pt>
                <c:pt idx="15">
                  <c:v>-0.72</c:v>
                </c:pt>
                <c:pt idx="16">
                  <c:v>1.17</c:v>
                </c:pt>
                <c:pt idx="17">
                  <c:v>2.77</c:v>
                </c:pt>
                <c:pt idx="18">
                  <c:v>0.86</c:v>
                </c:pt>
                <c:pt idx="19">
                  <c:v>0.64</c:v>
                </c:pt>
                <c:pt idx="20">
                  <c:v>1.6</c:v>
                </c:pt>
                <c:pt idx="21">
                  <c:v>-1.38</c:v>
                </c:pt>
                <c:pt idx="22">
                  <c:v>0.33</c:v>
                </c:pt>
                <c:pt idx="23">
                  <c:v>1.54</c:v>
                </c:pt>
              </c:numCache>
            </c:numRef>
          </c:val>
          <c:extLst>
            <c:ext xmlns:c16="http://schemas.microsoft.com/office/drawing/2014/chart" uri="{C3380CC4-5D6E-409C-BE32-E72D297353CC}">
              <c16:uniqueId val="{00000000-ECA7-4F38-A16B-02638F9134F9}"/>
            </c:ext>
          </c:extLst>
        </c:ser>
        <c:ser>
          <c:idx val="1"/>
          <c:order val="1"/>
          <c:spPr>
            <a:solidFill>
              <a:schemeClr val="accent2"/>
            </a:solidFill>
            <a:ln>
              <a:noFill/>
            </a:ln>
            <a:effectLst/>
          </c:spPr>
          <c:invertIfNegative val="0"/>
          <c:val>
            <c:numRef>
              <c:f>'Fund A vs Fund B Monthly Return'!$I$9:$I$32</c:f>
              <c:numCache>
                <c:formatCode>General</c:formatCode>
                <c:ptCount val="24"/>
                <c:pt idx="0">
                  <c:v>1.48</c:v>
                </c:pt>
                <c:pt idx="1">
                  <c:v>0.55000000000000004</c:v>
                </c:pt>
                <c:pt idx="2">
                  <c:v>1.1299999999999999</c:v>
                </c:pt>
                <c:pt idx="3">
                  <c:v>2.25</c:v>
                </c:pt>
                <c:pt idx="4">
                  <c:v>1.44</c:v>
                </c:pt>
                <c:pt idx="5">
                  <c:v>-2.14</c:v>
                </c:pt>
                <c:pt idx="6">
                  <c:v>1.95</c:v>
                </c:pt>
                <c:pt idx="7">
                  <c:v>-0.61</c:v>
                </c:pt>
                <c:pt idx="8">
                  <c:v>-1.43</c:v>
                </c:pt>
                <c:pt idx="9">
                  <c:v>0.68</c:v>
                </c:pt>
                <c:pt idx="10">
                  <c:v>0.62</c:v>
                </c:pt>
                <c:pt idx="11">
                  <c:v>3.45</c:v>
                </c:pt>
                <c:pt idx="12">
                  <c:v>2.5099999999999998</c:v>
                </c:pt>
                <c:pt idx="13">
                  <c:v>0.19</c:v>
                </c:pt>
                <c:pt idx="14">
                  <c:v>0.56999999999999995</c:v>
                </c:pt>
                <c:pt idx="15">
                  <c:v>-1.32</c:v>
                </c:pt>
                <c:pt idx="16">
                  <c:v>1.3</c:v>
                </c:pt>
                <c:pt idx="17">
                  <c:v>2.73</c:v>
                </c:pt>
                <c:pt idx="18">
                  <c:v>1.1499999999999999</c:v>
                </c:pt>
                <c:pt idx="19">
                  <c:v>1.49</c:v>
                </c:pt>
                <c:pt idx="20">
                  <c:v>2.31</c:v>
                </c:pt>
                <c:pt idx="21">
                  <c:v>-0.9</c:v>
                </c:pt>
                <c:pt idx="22">
                  <c:v>1.05</c:v>
                </c:pt>
                <c:pt idx="23">
                  <c:v>2.12</c:v>
                </c:pt>
              </c:numCache>
            </c:numRef>
          </c:val>
          <c:extLst>
            <c:ext xmlns:c16="http://schemas.microsoft.com/office/drawing/2014/chart" uri="{C3380CC4-5D6E-409C-BE32-E72D297353CC}">
              <c16:uniqueId val="{00000001-ECA7-4F38-A16B-02638F9134F9}"/>
            </c:ext>
          </c:extLst>
        </c:ser>
        <c:dLbls>
          <c:showLegendKey val="0"/>
          <c:showVal val="0"/>
          <c:showCatName val="0"/>
          <c:showSerName val="0"/>
          <c:showPercent val="0"/>
          <c:showBubbleSize val="0"/>
        </c:dLbls>
        <c:gapWidth val="182"/>
        <c:axId val="1841817520"/>
        <c:axId val="1841801200"/>
      </c:barChart>
      <c:catAx>
        <c:axId val="184181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801200"/>
        <c:crosses val="autoZero"/>
        <c:auto val="1"/>
        <c:lblAlgn val="ctr"/>
        <c:lblOffset val="100"/>
        <c:noMultiLvlLbl val="0"/>
      </c:catAx>
      <c:valAx>
        <c:axId val="184180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817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'Fund A vs Fund B Monthly Return'!$H$9:$H$32</c:f>
              <c:numCache>
                <c:formatCode>General</c:formatCode>
                <c:ptCount val="24"/>
                <c:pt idx="0">
                  <c:v>0.57999999999999996</c:v>
                </c:pt>
                <c:pt idx="1">
                  <c:v>0.54</c:v>
                </c:pt>
                <c:pt idx="2">
                  <c:v>0.63</c:v>
                </c:pt>
                <c:pt idx="3">
                  <c:v>1.85</c:v>
                </c:pt>
                <c:pt idx="4">
                  <c:v>0.61</c:v>
                </c:pt>
                <c:pt idx="5">
                  <c:v>-1.45</c:v>
                </c:pt>
                <c:pt idx="6">
                  <c:v>1.3</c:v>
                </c:pt>
                <c:pt idx="7">
                  <c:v>0.4</c:v>
                </c:pt>
                <c:pt idx="8">
                  <c:v>0.47</c:v>
                </c:pt>
                <c:pt idx="9">
                  <c:v>0.97</c:v>
                </c:pt>
                <c:pt idx="10">
                  <c:v>1.1499999999999999</c:v>
                </c:pt>
                <c:pt idx="11">
                  <c:v>2.5499999999999998</c:v>
                </c:pt>
                <c:pt idx="12">
                  <c:v>1.78</c:v>
                </c:pt>
                <c:pt idx="13">
                  <c:v>0.97</c:v>
                </c:pt>
                <c:pt idx="14">
                  <c:v>-0.31</c:v>
                </c:pt>
                <c:pt idx="15">
                  <c:v>-0.72</c:v>
                </c:pt>
                <c:pt idx="16">
                  <c:v>1.17</c:v>
                </c:pt>
                <c:pt idx="17">
                  <c:v>2.77</c:v>
                </c:pt>
                <c:pt idx="18">
                  <c:v>0.86</c:v>
                </c:pt>
                <c:pt idx="19">
                  <c:v>0.64</c:v>
                </c:pt>
                <c:pt idx="20">
                  <c:v>1.6</c:v>
                </c:pt>
                <c:pt idx="21">
                  <c:v>-1.38</c:v>
                </c:pt>
                <c:pt idx="22">
                  <c:v>0.33</c:v>
                </c:pt>
                <c:pt idx="23">
                  <c:v>1.54</c:v>
                </c:pt>
              </c:numCache>
            </c:numRef>
          </c:val>
          <c:extLst>
            <c:ext xmlns:c16="http://schemas.microsoft.com/office/drawing/2014/chart" uri="{C3380CC4-5D6E-409C-BE32-E72D297353CC}">
              <c16:uniqueId val="{00000000-3903-4C25-9819-8F57B625360E}"/>
            </c:ext>
          </c:extLst>
        </c:ser>
        <c:ser>
          <c:idx val="1"/>
          <c:order val="1"/>
          <c:spPr>
            <a:solidFill>
              <a:schemeClr val="accent2"/>
            </a:solidFill>
            <a:ln>
              <a:noFill/>
            </a:ln>
            <a:effectLst/>
          </c:spPr>
          <c:invertIfNegative val="0"/>
          <c:val>
            <c:numRef>
              <c:f>'Fund A vs Fund B Monthly Return'!$I$9:$I$32</c:f>
              <c:numCache>
                <c:formatCode>General</c:formatCode>
                <c:ptCount val="24"/>
                <c:pt idx="0">
                  <c:v>1.48</c:v>
                </c:pt>
                <c:pt idx="1">
                  <c:v>0.55000000000000004</c:v>
                </c:pt>
                <c:pt idx="2">
                  <c:v>1.1299999999999999</c:v>
                </c:pt>
                <c:pt idx="3">
                  <c:v>2.25</c:v>
                </c:pt>
                <c:pt idx="4">
                  <c:v>1.44</c:v>
                </c:pt>
                <c:pt idx="5">
                  <c:v>-2.14</c:v>
                </c:pt>
                <c:pt idx="6">
                  <c:v>1.95</c:v>
                </c:pt>
                <c:pt idx="7">
                  <c:v>-0.61</c:v>
                </c:pt>
                <c:pt idx="8">
                  <c:v>-1.43</c:v>
                </c:pt>
                <c:pt idx="9">
                  <c:v>0.68</c:v>
                </c:pt>
                <c:pt idx="10">
                  <c:v>0.62</c:v>
                </c:pt>
                <c:pt idx="11">
                  <c:v>3.45</c:v>
                </c:pt>
                <c:pt idx="12">
                  <c:v>2.5099999999999998</c:v>
                </c:pt>
                <c:pt idx="13">
                  <c:v>0.19</c:v>
                </c:pt>
                <c:pt idx="14">
                  <c:v>0.56999999999999995</c:v>
                </c:pt>
                <c:pt idx="15">
                  <c:v>-1.32</c:v>
                </c:pt>
                <c:pt idx="16">
                  <c:v>1.3</c:v>
                </c:pt>
                <c:pt idx="17">
                  <c:v>2.73</c:v>
                </c:pt>
                <c:pt idx="18">
                  <c:v>1.1499999999999999</c:v>
                </c:pt>
                <c:pt idx="19">
                  <c:v>1.49</c:v>
                </c:pt>
                <c:pt idx="20">
                  <c:v>2.31</c:v>
                </c:pt>
                <c:pt idx="21">
                  <c:v>-0.9</c:v>
                </c:pt>
                <c:pt idx="22">
                  <c:v>1.05</c:v>
                </c:pt>
                <c:pt idx="23">
                  <c:v>2.12</c:v>
                </c:pt>
              </c:numCache>
            </c:numRef>
          </c:val>
          <c:extLst>
            <c:ext xmlns:c16="http://schemas.microsoft.com/office/drawing/2014/chart" uri="{C3380CC4-5D6E-409C-BE32-E72D297353CC}">
              <c16:uniqueId val="{00000001-3903-4C25-9819-8F57B625360E}"/>
            </c:ext>
          </c:extLst>
        </c:ser>
        <c:dLbls>
          <c:showLegendKey val="0"/>
          <c:showVal val="0"/>
          <c:showCatName val="0"/>
          <c:showSerName val="0"/>
          <c:showPercent val="0"/>
          <c:showBubbleSize val="0"/>
        </c:dLbls>
        <c:gapWidth val="182"/>
        <c:axId val="1841817520"/>
        <c:axId val="1841801200"/>
      </c:barChart>
      <c:catAx>
        <c:axId val="184181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801200"/>
        <c:crosses val="autoZero"/>
        <c:auto val="1"/>
        <c:lblAlgn val="ctr"/>
        <c:lblOffset val="100"/>
        <c:noMultiLvlLbl val="0"/>
      </c:catAx>
      <c:valAx>
        <c:axId val="184180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817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80314960629922"/>
          <c:y val="0.18560185185185185"/>
          <c:w val="0.86171084864391956"/>
          <c:h val="0.72088764946048411"/>
        </c:manualLayout>
      </c:layout>
      <c:scatterChart>
        <c:scatterStyle val="lineMarker"/>
        <c:varyColors val="0"/>
        <c:ser>
          <c:idx val="0"/>
          <c:order val="0"/>
          <c:tx>
            <c:strRef>
              <c:f>'Interest Rates and Loan Applica'!$I$7</c:f>
              <c:strCache>
                <c:ptCount val="1"/>
                <c:pt idx="0">
                  <c:v>Loan Applications (No.)</c:v>
                </c:pt>
              </c:strCache>
            </c:strRef>
          </c:tx>
          <c:spPr>
            <a:ln w="28575" cap="rnd">
              <a:noFill/>
              <a:round/>
            </a:ln>
            <a:effectLst/>
          </c:spPr>
          <c:marker>
            <c:symbol val="circle"/>
            <c:size val="5"/>
            <c:spPr>
              <a:solidFill>
                <a:schemeClr val="accent1"/>
              </a:solidFill>
              <a:ln w="9525">
                <a:solidFill>
                  <a:schemeClr val="accent1"/>
                </a:solidFill>
              </a:ln>
              <a:effectLst/>
            </c:spPr>
          </c:marker>
          <c:xVal>
            <c:numRef>
              <c:f>'Interest Rates and Loan Applica'!$H$8:$H$19</c:f>
              <c:numCache>
                <c:formatCode>General</c:formatCode>
                <c:ptCount val="12"/>
                <c:pt idx="0">
                  <c:v>6.5</c:v>
                </c:pt>
                <c:pt idx="1">
                  <c:v>6.4</c:v>
                </c:pt>
                <c:pt idx="2">
                  <c:v>6.3</c:v>
                </c:pt>
                <c:pt idx="3">
                  <c:v>6.3</c:v>
                </c:pt>
                <c:pt idx="4">
                  <c:v>6.2</c:v>
                </c:pt>
                <c:pt idx="5">
                  <c:v>6.1</c:v>
                </c:pt>
                <c:pt idx="6">
                  <c:v>6</c:v>
                </c:pt>
                <c:pt idx="7">
                  <c:v>6</c:v>
                </c:pt>
                <c:pt idx="8">
                  <c:v>6.1</c:v>
                </c:pt>
                <c:pt idx="9">
                  <c:v>6.2</c:v>
                </c:pt>
                <c:pt idx="10">
                  <c:v>6.3</c:v>
                </c:pt>
                <c:pt idx="11">
                  <c:v>6.4</c:v>
                </c:pt>
              </c:numCache>
            </c:numRef>
          </c:xVal>
          <c:yVal>
            <c:numRef>
              <c:f>'Interest Rates and Loan Applica'!$I$8:$I$19</c:f>
              <c:numCache>
                <c:formatCode>General</c:formatCode>
                <c:ptCount val="12"/>
                <c:pt idx="0">
                  <c:v>1200</c:v>
                </c:pt>
                <c:pt idx="1">
                  <c:v>1250</c:v>
                </c:pt>
                <c:pt idx="2">
                  <c:v>1300</c:v>
                </c:pt>
                <c:pt idx="3">
                  <c:v>1320</c:v>
                </c:pt>
                <c:pt idx="4">
                  <c:v>1350</c:v>
                </c:pt>
                <c:pt idx="5">
                  <c:v>1380</c:v>
                </c:pt>
                <c:pt idx="6">
                  <c:v>1420</c:v>
                </c:pt>
                <c:pt idx="7">
                  <c:v>1450</c:v>
                </c:pt>
                <c:pt idx="8">
                  <c:v>1480</c:v>
                </c:pt>
                <c:pt idx="9">
                  <c:v>1500</c:v>
                </c:pt>
                <c:pt idx="10">
                  <c:v>1530</c:v>
                </c:pt>
                <c:pt idx="11">
                  <c:v>1550</c:v>
                </c:pt>
              </c:numCache>
            </c:numRef>
          </c:yVal>
          <c:smooth val="0"/>
          <c:extLst>
            <c:ext xmlns:c16="http://schemas.microsoft.com/office/drawing/2014/chart" uri="{C3380CC4-5D6E-409C-BE32-E72D297353CC}">
              <c16:uniqueId val="{00000000-352A-48C3-BF02-455B01442AB5}"/>
            </c:ext>
          </c:extLst>
        </c:ser>
        <c:dLbls>
          <c:showLegendKey val="0"/>
          <c:showVal val="0"/>
          <c:showCatName val="0"/>
          <c:showSerName val="0"/>
          <c:showPercent val="0"/>
          <c:showBubbleSize val="0"/>
        </c:dLbls>
        <c:axId val="1478786432"/>
        <c:axId val="1478787392"/>
      </c:scatterChart>
      <c:valAx>
        <c:axId val="1478786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787392"/>
        <c:crosses val="autoZero"/>
        <c:crossBetween val="midCat"/>
      </c:valAx>
      <c:valAx>
        <c:axId val="147878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7864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80314960629922"/>
          <c:y val="0.18560185185185185"/>
          <c:w val="0.86171084864391956"/>
          <c:h val="0.72088764946048411"/>
        </c:manualLayout>
      </c:layout>
      <c:scatterChart>
        <c:scatterStyle val="lineMarker"/>
        <c:varyColors val="0"/>
        <c:ser>
          <c:idx val="0"/>
          <c:order val="0"/>
          <c:tx>
            <c:strRef>
              <c:f>'Interest Rates and Loan Applica'!$I$7</c:f>
              <c:strCache>
                <c:ptCount val="1"/>
                <c:pt idx="0">
                  <c:v>Loan Applications (No.)</c:v>
                </c:pt>
              </c:strCache>
            </c:strRef>
          </c:tx>
          <c:spPr>
            <a:ln w="28575" cap="rnd">
              <a:noFill/>
              <a:round/>
            </a:ln>
            <a:effectLst/>
          </c:spPr>
          <c:marker>
            <c:symbol val="circle"/>
            <c:size val="5"/>
            <c:spPr>
              <a:solidFill>
                <a:schemeClr val="accent1"/>
              </a:solidFill>
              <a:ln w="9525">
                <a:solidFill>
                  <a:schemeClr val="accent1"/>
                </a:solidFill>
              </a:ln>
              <a:effectLst/>
            </c:spPr>
          </c:marker>
          <c:xVal>
            <c:numRef>
              <c:f>'Interest Rates and Loan Applica'!$H$8:$H$19</c:f>
              <c:numCache>
                <c:formatCode>General</c:formatCode>
                <c:ptCount val="12"/>
                <c:pt idx="0">
                  <c:v>6.5</c:v>
                </c:pt>
                <c:pt idx="1">
                  <c:v>6.4</c:v>
                </c:pt>
                <c:pt idx="2">
                  <c:v>6.3</c:v>
                </c:pt>
                <c:pt idx="3">
                  <c:v>6.3</c:v>
                </c:pt>
                <c:pt idx="4">
                  <c:v>6.2</c:v>
                </c:pt>
                <c:pt idx="5">
                  <c:v>6.1</c:v>
                </c:pt>
                <c:pt idx="6">
                  <c:v>6</c:v>
                </c:pt>
                <c:pt idx="7">
                  <c:v>6</c:v>
                </c:pt>
                <c:pt idx="8">
                  <c:v>6.1</c:v>
                </c:pt>
                <c:pt idx="9">
                  <c:v>6.2</c:v>
                </c:pt>
                <c:pt idx="10">
                  <c:v>6.3</c:v>
                </c:pt>
                <c:pt idx="11">
                  <c:v>6.4</c:v>
                </c:pt>
              </c:numCache>
            </c:numRef>
          </c:xVal>
          <c:yVal>
            <c:numRef>
              <c:f>'Interest Rates and Loan Applica'!$I$8:$I$19</c:f>
              <c:numCache>
                <c:formatCode>General</c:formatCode>
                <c:ptCount val="12"/>
                <c:pt idx="0">
                  <c:v>1200</c:v>
                </c:pt>
                <c:pt idx="1">
                  <c:v>1250</c:v>
                </c:pt>
                <c:pt idx="2">
                  <c:v>1300</c:v>
                </c:pt>
                <c:pt idx="3">
                  <c:v>1320</c:v>
                </c:pt>
                <c:pt idx="4">
                  <c:v>1350</c:v>
                </c:pt>
                <c:pt idx="5">
                  <c:v>1380</c:v>
                </c:pt>
                <c:pt idx="6">
                  <c:v>1420</c:v>
                </c:pt>
                <c:pt idx="7">
                  <c:v>1450</c:v>
                </c:pt>
                <c:pt idx="8">
                  <c:v>1480</c:v>
                </c:pt>
                <c:pt idx="9">
                  <c:v>1500</c:v>
                </c:pt>
                <c:pt idx="10">
                  <c:v>1530</c:v>
                </c:pt>
                <c:pt idx="11">
                  <c:v>1550</c:v>
                </c:pt>
              </c:numCache>
            </c:numRef>
          </c:yVal>
          <c:smooth val="0"/>
          <c:extLst>
            <c:ext xmlns:c16="http://schemas.microsoft.com/office/drawing/2014/chart" uri="{C3380CC4-5D6E-409C-BE32-E72D297353CC}">
              <c16:uniqueId val="{00000000-0F8C-44A5-8828-3A6DE71EB8E3}"/>
            </c:ext>
          </c:extLst>
        </c:ser>
        <c:dLbls>
          <c:showLegendKey val="0"/>
          <c:showVal val="0"/>
          <c:showCatName val="0"/>
          <c:showSerName val="0"/>
          <c:showPercent val="0"/>
          <c:showBubbleSize val="0"/>
        </c:dLbls>
        <c:axId val="1478786432"/>
        <c:axId val="1478787392"/>
      </c:scatterChart>
      <c:valAx>
        <c:axId val="1478786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787392"/>
        <c:crosses val="autoZero"/>
        <c:crossBetween val="midCat"/>
      </c:valAx>
      <c:valAx>
        <c:axId val="147878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7864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Normal Probability Plot</a:t>
            </a:r>
          </a:p>
        </c:rich>
      </c:tx>
      <c:overlay val="0"/>
    </c:title>
    <c:autoTitleDeleted val="0"/>
    <c:plotArea>
      <c:layout/>
      <c:scatterChart>
        <c:scatterStyle val="lineMarker"/>
        <c:varyColors val="0"/>
        <c:ser>
          <c:idx val="0"/>
          <c:order val="0"/>
          <c:spPr>
            <a:ln w="28575">
              <a:noFill/>
            </a:ln>
          </c:spPr>
          <c:xVal>
            <c:numRef>
              <c:f>'Unemployment and Default Rates'!$G$39:$G$62</c:f>
              <c:numCache>
                <c:formatCode>General</c:formatCode>
                <c:ptCount val="24"/>
                <c:pt idx="0">
                  <c:v>2.0833333333333335</c:v>
                </c:pt>
                <c:pt idx="1">
                  <c:v>6.25</c:v>
                </c:pt>
                <c:pt idx="2">
                  <c:v>10.416666666666668</c:v>
                </c:pt>
                <c:pt idx="3">
                  <c:v>14.583333333333334</c:v>
                </c:pt>
                <c:pt idx="4">
                  <c:v>18.75</c:v>
                </c:pt>
                <c:pt idx="5">
                  <c:v>22.916666666666668</c:v>
                </c:pt>
                <c:pt idx="6">
                  <c:v>27.083333333333332</c:v>
                </c:pt>
                <c:pt idx="7">
                  <c:v>31.25</c:v>
                </c:pt>
                <c:pt idx="8">
                  <c:v>35.416666666666671</c:v>
                </c:pt>
                <c:pt idx="9">
                  <c:v>39.583333333333336</c:v>
                </c:pt>
                <c:pt idx="10">
                  <c:v>43.750000000000007</c:v>
                </c:pt>
                <c:pt idx="11">
                  <c:v>47.916666666666671</c:v>
                </c:pt>
                <c:pt idx="12">
                  <c:v>52.083333333333336</c:v>
                </c:pt>
                <c:pt idx="13">
                  <c:v>56.250000000000007</c:v>
                </c:pt>
                <c:pt idx="14">
                  <c:v>60.416666666666671</c:v>
                </c:pt>
                <c:pt idx="15">
                  <c:v>64.583333333333343</c:v>
                </c:pt>
                <c:pt idx="16">
                  <c:v>68.75</c:v>
                </c:pt>
                <c:pt idx="17">
                  <c:v>72.916666666666671</c:v>
                </c:pt>
                <c:pt idx="18">
                  <c:v>77.083333333333329</c:v>
                </c:pt>
                <c:pt idx="19">
                  <c:v>81.25</c:v>
                </c:pt>
                <c:pt idx="20">
                  <c:v>85.416666666666671</c:v>
                </c:pt>
                <c:pt idx="21">
                  <c:v>89.583333333333329</c:v>
                </c:pt>
                <c:pt idx="22">
                  <c:v>93.75</c:v>
                </c:pt>
                <c:pt idx="23">
                  <c:v>97.916666666666671</c:v>
                </c:pt>
              </c:numCache>
            </c:numRef>
          </c:xVal>
          <c:yVal>
            <c:numRef>
              <c:f>'Unemployment and Default Rates'!$H$39:$H$62</c:f>
              <c:numCache>
                <c:formatCode>General</c:formatCode>
                <c:ptCount val="24"/>
                <c:pt idx="0">
                  <c:v>2.4</c:v>
                </c:pt>
                <c:pt idx="1">
                  <c:v>2.66</c:v>
                </c:pt>
                <c:pt idx="2">
                  <c:v>2.73</c:v>
                </c:pt>
                <c:pt idx="3">
                  <c:v>2.9</c:v>
                </c:pt>
                <c:pt idx="4">
                  <c:v>2.97</c:v>
                </c:pt>
                <c:pt idx="5">
                  <c:v>2.98</c:v>
                </c:pt>
                <c:pt idx="6">
                  <c:v>3.05</c:v>
                </c:pt>
                <c:pt idx="7">
                  <c:v>3.06</c:v>
                </c:pt>
                <c:pt idx="8">
                  <c:v>3.17</c:v>
                </c:pt>
                <c:pt idx="9">
                  <c:v>3.29</c:v>
                </c:pt>
                <c:pt idx="10">
                  <c:v>3.29</c:v>
                </c:pt>
                <c:pt idx="11">
                  <c:v>3.31</c:v>
                </c:pt>
                <c:pt idx="12">
                  <c:v>3.34</c:v>
                </c:pt>
                <c:pt idx="13">
                  <c:v>3.4</c:v>
                </c:pt>
                <c:pt idx="14">
                  <c:v>3.46</c:v>
                </c:pt>
                <c:pt idx="15">
                  <c:v>3.52</c:v>
                </c:pt>
                <c:pt idx="16">
                  <c:v>3.53</c:v>
                </c:pt>
                <c:pt idx="17">
                  <c:v>3.57</c:v>
                </c:pt>
                <c:pt idx="18">
                  <c:v>3.81</c:v>
                </c:pt>
                <c:pt idx="19">
                  <c:v>3.87</c:v>
                </c:pt>
                <c:pt idx="20">
                  <c:v>3.91</c:v>
                </c:pt>
                <c:pt idx="21">
                  <c:v>3.94</c:v>
                </c:pt>
                <c:pt idx="22">
                  <c:v>3.96</c:v>
                </c:pt>
                <c:pt idx="23">
                  <c:v>4.03</c:v>
                </c:pt>
              </c:numCache>
            </c:numRef>
          </c:yVal>
          <c:smooth val="0"/>
          <c:extLst>
            <c:ext xmlns:c16="http://schemas.microsoft.com/office/drawing/2014/chart" uri="{C3380CC4-5D6E-409C-BE32-E72D297353CC}">
              <c16:uniqueId val="{00000001-8A7E-4969-9863-BA994CA25914}"/>
            </c:ext>
          </c:extLst>
        </c:ser>
        <c:dLbls>
          <c:showLegendKey val="0"/>
          <c:showVal val="0"/>
          <c:showCatName val="0"/>
          <c:showSerName val="0"/>
          <c:showPercent val="0"/>
          <c:showBubbleSize val="0"/>
        </c:dLbls>
        <c:axId val="2130073071"/>
        <c:axId val="2130072111"/>
      </c:scatterChart>
      <c:valAx>
        <c:axId val="2130073071"/>
        <c:scaling>
          <c:orientation val="minMax"/>
        </c:scaling>
        <c:delete val="0"/>
        <c:axPos val="b"/>
        <c:title>
          <c:tx>
            <c:rich>
              <a:bodyPr/>
              <a:lstStyle/>
              <a:p>
                <a:pPr>
                  <a:defRPr/>
                </a:pPr>
                <a:r>
                  <a:rPr lang="en-IN"/>
                  <a:t>Sample Percentile</a:t>
                </a:r>
              </a:p>
            </c:rich>
          </c:tx>
          <c:overlay val="0"/>
        </c:title>
        <c:numFmt formatCode="General" sourceLinked="1"/>
        <c:majorTickMark val="out"/>
        <c:minorTickMark val="none"/>
        <c:tickLblPos val="nextTo"/>
        <c:crossAx val="2130072111"/>
        <c:crosses val="autoZero"/>
        <c:crossBetween val="midCat"/>
      </c:valAx>
      <c:valAx>
        <c:axId val="2130072111"/>
        <c:scaling>
          <c:orientation val="minMax"/>
        </c:scaling>
        <c:delete val="0"/>
        <c:axPos val="l"/>
        <c:title>
          <c:tx>
            <c:rich>
              <a:bodyPr/>
              <a:lstStyle/>
              <a:p>
                <a:pPr>
                  <a:defRPr/>
                </a:pPr>
                <a:r>
                  <a:rPr lang="en-IN"/>
                  <a:t>Default Rate (%)</a:t>
                </a:r>
              </a:p>
            </c:rich>
          </c:tx>
          <c:overlay val="0"/>
        </c:title>
        <c:numFmt formatCode="General" sourceLinked="1"/>
        <c:majorTickMark val="out"/>
        <c:minorTickMark val="none"/>
        <c:tickLblPos val="nextTo"/>
        <c:crossAx val="213007307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601980</xdr:colOff>
      <xdr:row>8</xdr:row>
      <xdr:rowOff>133350</xdr:rowOff>
    </xdr:from>
    <xdr:to>
      <xdr:col>9</xdr:col>
      <xdr:colOff>5798820</xdr:colOff>
      <xdr:row>23</xdr:row>
      <xdr:rowOff>133350</xdr:rowOff>
    </xdr:to>
    <xdr:graphicFrame macro="">
      <xdr:nvGraphicFramePr>
        <xdr:cNvPr id="3" name="Chart 2">
          <a:extLst>
            <a:ext uri="{FF2B5EF4-FFF2-40B4-BE49-F238E27FC236}">
              <a16:creationId xmlns:a16="http://schemas.microsoft.com/office/drawing/2014/main" id="{45A0B927-0583-F7DB-4417-D53422C80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36</xdr:row>
      <xdr:rowOff>0</xdr:rowOff>
    </xdr:from>
    <xdr:to>
      <xdr:col>9</xdr:col>
      <xdr:colOff>1363980</xdr:colOff>
      <xdr:row>51</xdr:row>
      <xdr:rowOff>0</xdr:rowOff>
    </xdr:to>
    <xdr:graphicFrame macro="">
      <xdr:nvGraphicFramePr>
        <xdr:cNvPr id="4" name="Chart 3">
          <a:extLst>
            <a:ext uri="{FF2B5EF4-FFF2-40B4-BE49-F238E27FC236}">
              <a16:creationId xmlns:a16="http://schemas.microsoft.com/office/drawing/2014/main" id="{2BC1C9B2-4A11-42C8-B802-BC23DF0F8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83820</xdr:colOff>
      <xdr:row>5</xdr:row>
      <xdr:rowOff>0</xdr:rowOff>
    </xdr:from>
    <xdr:to>
      <xdr:col>16</xdr:col>
      <xdr:colOff>388620</xdr:colOff>
      <xdr:row>19</xdr:row>
      <xdr:rowOff>7620</xdr:rowOff>
    </xdr:to>
    <xdr:graphicFrame macro="">
      <xdr:nvGraphicFramePr>
        <xdr:cNvPr id="2" name="Chart 1">
          <a:extLst>
            <a:ext uri="{FF2B5EF4-FFF2-40B4-BE49-F238E27FC236}">
              <a16:creationId xmlns:a16="http://schemas.microsoft.com/office/drawing/2014/main" id="{CF87ECA7-1456-68A1-5274-1837FD977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23</xdr:row>
      <xdr:rowOff>0</xdr:rowOff>
    </xdr:from>
    <xdr:to>
      <xdr:col>8</xdr:col>
      <xdr:colOff>769620</xdr:colOff>
      <xdr:row>37</xdr:row>
      <xdr:rowOff>7620</xdr:rowOff>
    </xdr:to>
    <xdr:graphicFrame macro="">
      <xdr:nvGraphicFramePr>
        <xdr:cNvPr id="3" name="Chart 2">
          <a:extLst>
            <a:ext uri="{FF2B5EF4-FFF2-40B4-BE49-F238E27FC236}">
              <a16:creationId xmlns:a16="http://schemas.microsoft.com/office/drawing/2014/main" id="{3DEBCA74-9480-46EE-BD8E-FE3BD4C9E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251459</xdr:colOff>
      <xdr:row>10</xdr:row>
      <xdr:rowOff>175260</xdr:rowOff>
    </xdr:from>
    <xdr:to>
      <xdr:col>21</xdr:col>
      <xdr:colOff>251459</xdr:colOff>
      <xdr:row>21</xdr:row>
      <xdr:rowOff>7620</xdr:rowOff>
    </xdr:to>
    <xdr:graphicFrame macro="">
      <xdr:nvGraphicFramePr>
        <xdr:cNvPr id="2" name="Chart 1">
          <a:extLst>
            <a:ext uri="{FF2B5EF4-FFF2-40B4-BE49-F238E27FC236}">
              <a16:creationId xmlns:a16="http://schemas.microsoft.com/office/drawing/2014/main" id="{547A1FE5-2D15-1AEB-769E-43060A6BF5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0"/>
  <sheetViews>
    <sheetView tabSelected="1" workbookViewId="0">
      <selection activeCell="H83" sqref="H83:H86"/>
    </sheetView>
  </sheetViews>
  <sheetFormatPr defaultRowHeight="14.4" x14ac:dyDescent="0.3"/>
  <cols>
    <col min="2" max="2" width="16" bestFit="1" customWidth="1"/>
    <col min="3" max="3" width="15.88671875" bestFit="1" customWidth="1"/>
    <col min="5" max="5" width="33.5546875" customWidth="1"/>
    <col min="7" max="7" width="10.88671875" bestFit="1" customWidth="1"/>
    <col min="8" max="8" width="53.77734375" bestFit="1" customWidth="1"/>
    <col min="9" max="9" width="15.44140625" bestFit="1" customWidth="1"/>
    <col min="10" max="10" width="138.33203125" bestFit="1" customWidth="1"/>
  </cols>
  <sheetData>
    <row r="1" spans="1:10" x14ac:dyDescent="0.3">
      <c r="A1" s="16" t="s">
        <v>16</v>
      </c>
      <c r="B1" s="17"/>
      <c r="C1" s="17"/>
      <c r="D1" s="17"/>
      <c r="E1" s="17"/>
    </row>
    <row r="2" spans="1:10" x14ac:dyDescent="0.3">
      <c r="A2" s="17"/>
      <c r="B2" s="17"/>
      <c r="C2" s="17"/>
      <c r="D2" s="17"/>
      <c r="E2" s="17"/>
      <c r="G2" t="s">
        <v>51</v>
      </c>
      <c r="H2" t="s">
        <v>52</v>
      </c>
      <c r="I2" t="s">
        <v>53</v>
      </c>
      <c r="J2" t="s">
        <v>54</v>
      </c>
    </row>
    <row r="3" spans="1:10" x14ac:dyDescent="0.3">
      <c r="A3" s="17"/>
      <c r="B3" s="17"/>
      <c r="C3" s="17"/>
      <c r="D3" s="17"/>
      <c r="E3" s="17"/>
    </row>
    <row r="4" spans="1:10" x14ac:dyDescent="0.3">
      <c r="A4" s="17"/>
      <c r="B4" s="17"/>
      <c r="C4" s="17"/>
      <c r="D4" s="17"/>
      <c r="E4" s="17"/>
      <c r="G4" t="s">
        <v>55</v>
      </c>
      <c r="H4" t="s">
        <v>56</v>
      </c>
      <c r="I4" t="s">
        <v>59</v>
      </c>
      <c r="J4" t="s">
        <v>60</v>
      </c>
    </row>
    <row r="5" spans="1:10" x14ac:dyDescent="0.3">
      <c r="A5" s="17"/>
      <c r="B5" s="17"/>
      <c r="C5" s="17"/>
      <c r="D5" s="17"/>
      <c r="E5" s="17"/>
    </row>
    <row r="7" spans="1:10" x14ac:dyDescent="0.3">
      <c r="A7" t="s">
        <v>1</v>
      </c>
      <c r="B7" t="s">
        <v>17</v>
      </c>
      <c r="C7" t="s">
        <v>18</v>
      </c>
      <c r="F7" s="4" t="s">
        <v>57</v>
      </c>
      <c r="G7" s="4"/>
      <c r="H7" s="4">
        <f>COUNTBLANK(H9:H32)</f>
        <v>0</v>
      </c>
      <c r="I7" s="4">
        <f>COUNTBLANK(I9:I32)</f>
        <v>0</v>
      </c>
    </row>
    <row r="8" spans="1:10" x14ac:dyDescent="0.3">
      <c r="A8" t="s">
        <v>19</v>
      </c>
      <c r="B8">
        <v>0.57999999999999996</v>
      </c>
      <c r="C8">
        <v>1.48</v>
      </c>
      <c r="F8" s="4" t="s">
        <v>58</v>
      </c>
      <c r="G8" s="6" t="s">
        <v>1</v>
      </c>
      <c r="H8" s="11" t="s">
        <v>17</v>
      </c>
      <c r="I8" s="11" t="s">
        <v>18</v>
      </c>
    </row>
    <row r="9" spans="1:10" x14ac:dyDescent="0.3">
      <c r="A9" t="s">
        <v>20</v>
      </c>
      <c r="B9">
        <v>0.54</v>
      </c>
      <c r="C9">
        <v>0.55000000000000004</v>
      </c>
      <c r="G9" s="4" t="s">
        <v>19</v>
      </c>
      <c r="H9" s="4">
        <v>0.57999999999999996</v>
      </c>
      <c r="I9" s="4">
        <v>1.48</v>
      </c>
    </row>
    <row r="10" spans="1:10" x14ac:dyDescent="0.3">
      <c r="A10" t="s">
        <v>21</v>
      </c>
      <c r="B10">
        <v>0.63</v>
      </c>
      <c r="C10">
        <v>1.1299999999999999</v>
      </c>
      <c r="G10" s="4" t="s">
        <v>20</v>
      </c>
      <c r="H10" s="4">
        <v>0.54</v>
      </c>
      <c r="I10" s="4">
        <v>0.55000000000000004</v>
      </c>
    </row>
    <row r="11" spans="1:10" x14ac:dyDescent="0.3">
      <c r="A11" t="s">
        <v>22</v>
      </c>
      <c r="B11">
        <v>1.85</v>
      </c>
      <c r="C11">
        <v>2.25</v>
      </c>
      <c r="G11" s="4" t="s">
        <v>21</v>
      </c>
      <c r="H11" s="4">
        <v>0.63</v>
      </c>
      <c r="I11" s="4">
        <v>1.1299999999999999</v>
      </c>
    </row>
    <row r="12" spans="1:10" x14ac:dyDescent="0.3">
      <c r="A12" t="s">
        <v>23</v>
      </c>
      <c r="B12">
        <v>0.61</v>
      </c>
      <c r="C12">
        <v>1.44</v>
      </c>
      <c r="G12" s="4" t="s">
        <v>22</v>
      </c>
      <c r="H12" s="4">
        <v>1.85</v>
      </c>
      <c r="I12" s="4">
        <v>2.25</v>
      </c>
    </row>
    <row r="13" spans="1:10" x14ac:dyDescent="0.3">
      <c r="A13" t="s">
        <v>24</v>
      </c>
      <c r="B13">
        <v>-1.45</v>
      </c>
      <c r="C13">
        <v>-2.14</v>
      </c>
      <c r="G13" s="4" t="s">
        <v>23</v>
      </c>
      <c r="H13" s="4">
        <v>0.61</v>
      </c>
      <c r="I13" s="4">
        <v>1.44</v>
      </c>
    </row>
    <row r="14" spans="1:10" x14ac:dyDescent="0.3">
      <c r="A14" t="s">
        <v>25</v>
      </c>
      <c r="B14">
        <v>1.3</v>
      </c>
      <c r="C14">
        <v>1.95</v>
      </c>
      <c r="G14" s="4" t="s">
        <v>24</v>
      </c>
      <c r="H14" s="4">
        <v>-1.45</v>
      </c>
      <c r="I14" s="4">
        <v>-2.14</v>
      </c>
    </row>
    <row r="15" spans="1:10" x14ac:dyDescent="0.3">
      <c r="A15" t="s">
        <v>26</v>
      </c>
      <c r="B15">
        <v>0.4</v>
      </c>
      <c r="C15">
        <v>-0.61</v>
      </c>
      <c r="G15" s="4" t="s">
        <v>25</v>
      </c>
      <c r="H15" s="4">
        <v>1.3</v>
      </c>
      <c r="I15" s="4">
        <v>1.95</v>
      </c>
    </row>
    <row r="16" spans="1:10" x14ac:dyDescent="0.3">
      <c r="A16" t="s">
        <v>27</v>
      </c>
      <c r="B16">
        <v>0.47</v>
      </c>
      <c r="C16">
        <v>-1.43</v>
      </c>
      <c r="G16" s="4" t="s">
        <v>26</v>
      </c>
      <c r="H16" s="4">
        <v>0.4</v>
      </c>
      <c r="I16" s="4">
        <v>-0.61</v>
      </c>
    </row>
    <row r="17" spans="1:9" x14ac:dyDescent="0.3">
      <c r="A17" t="s">
        <v>28</v>
      </c>
      <c r="B17">
        <v>0.97</v>
      </c>
      <c r="C17">
        <v>0.68</v>
      </c>
      <c r="G17" s="4" t="s">
        <v>27</v>
      </c>
      <c r="H17" s="4">
        <v>0.47</v>
      </c>
      <c r="I17" s="4">
        <v>-1.43</v>
      </c>
    </row>
    <row r="18" spans="1:9" x14ac:dyDescent="0.3">
      <c r="A18" t="s">
        <v>29</v>
      </c>
      <c r="B18">
        <v>1.1499999999999999</v>
      </c>
      <c r="C18">
        <v>0.62</v>
      </c>
      <c r="G18" s="4" t="s">
        <v>28</v>
      </c>
      <c r="H18" s="4">
        <v>0.97</v>
      </c>
      <c r="I18" s="4">
        <v>0.68</v>
      </c>
    </row>
    <row r="19" spans="1:9" x14ac:dyDescent="0.3">
      <c r="A19" t="s">
        <v>30</v>
      </c>
      <c r="B19">
        <v>2.5499999999999998</v>
      </c>
      <c r="C19">
        <v>3.45</v>
      </c>
      <c r="G19" s="4" t="s">
        <v>29</v>
      </c>
      <c r="H19" s="4">
        <v>1.1499999999999999</v>
      </c>
      <c r="I19" s="4">
        <v>0.62</v>
      </c>
    </row>
    <row r="20" spans="1:9" x14ac:dyDescent="0.3">
      <c r="A20" t="s">
        <v>31</v>
      </c>
      <c r="B20">
        <v>1.78</v>
      </c>
      <c r="C20">
        <v>2.5099999999999998</v>
      </c>
      <c r="G20" s="4" t="s">
        <v>30</v>
      </c>
      <c r="H20" s="4">
        <v>2.5499999999999998</v>
      </c>
      <c r="I20" s="4">
        <v>3.45</v>
      </c>
    </row>
    <row r="21" spans="1:9" x14ac:dyDescent="0.3">
      <c r="A21" t="s">
        <v>32</v>
      </c>
      <c r="B21">
        <v>0.97</v>
      </c>
      <c r="C21">
        <v>0.19</v>
      </c>
      <c r="G21" s="4" t="s">
        <v>31</v>
      </c>
      <c r="H21" s="4">
        <v>1.78</v>
      </c>
      <c r="I21" s="4">
        <v>2.5099999999999998</v>
      </c>
    </row>
    <row r="22" spans="1:9" x14ac:dyDescent="0.3">
      <c r="A22" t="s">
        <v>33</v>
      </c>
      <c r="B22">
        <v>-0.31</v>
      </c>
      <c r="C22">
        <v>0.56999999999999995</v>
      </c>
      <c r="G22" s="4" t="s">
        <v>32</v>
      </c>
      <c r="H22" s="4">
        <v>0.97</v>
      </c>
      <c r="I22" s="4">
        <v>0.19</v>
      </c>
    </row>
    <row r="23" spans="1:9" x14ac:dyDescent="0.3">
      <c r="A23" t="s">
        <v>34</v>
      </c>
      <c r="B23">
        <v>-0.72</v>
      </c>
      <c r="C23">
        <v>-1.32</v>
      </c>
      <c r="G23" s="4" t="s">
        <v>33</v>
      </c>
      <c r="H23" s="4">
        <v>-0.31</v>
      </c>
      <c r="I23" s="4">
        <v>0.56999999999999995</v>
      </c>
    </row>
    <row r="24" spans="1:9" x14ac:dyDescent="0.3">
      <c r="A24" t="s">
        <v>35</v>
      </c>
      <c r="B24">
        <v>1.17</v>
      </c>
      <c r="C24">
        <v>1.3</v>
      </c>
      <c r="G24" s="4" t="s">
        <v>34</v>
      </c>
      <c r="H24" s="4">
        <v>-0.72</v>
      </c>
      <c r="I24" s="4">
        <v>-1.32</v>
      </c>
    </row>
    <row r="25" spans="1:9" x14ac:dyDescent="0.3">
      <c r="A25" t="s">
        <v>36</v>
      </c>
      <c r="B25">
        <v>2.77</v>
      </c>
      <c r="C25">
        <v>2.73</v>
      </c>
      <c r="G25" s="4" t="s">
        <v>35</v>
      </c>
      <c r="H25" s="4">
        <v>1.17</v>
      </c>
      <c r="I25" s="4">
        <v>1.3</v>
      </c>
    </row>
    <row r="26" spans="1:9" x14ac:dyDescent="0.3">
      <c r="A26" t="s">
        <v>37</v>
      </c>
      <c r="B26">
        <v>0.86</v>
      </c>
      <c r="C26">
        <v>1.1499999999999999</v>
      </c>
      <c r="G26" s="4" t="s">
        <v>36</v>
      </c>
      <c r="H26" s="4">
        <v>2.77</v>
      </c>
      <c r="I26" s="4">
        <v>2.73</v>
      </c>
    </row>
    <row r="27" spans="1:9" x14ac:dyDescent="0.3">
      <c r="A27" t="s">
        <v>38</v>
      </c>
      <c r="B27">
        <v>0.64</v>
      </c>
      <c r="C27">
        <v>1.49</v>
      </c>
      <c r="G27" s="4" t="s">
        <v>37</v>
      </c>
      <c r="H27" s="4">
        <v>0.86</v>
      </c>
      <c r="I27" s="4">
        <v>1.1499999999999999</v>
      </c>
    </row>
    <row r="28" spans="1:9" x14ac:dyDescent="0.3">
      <c r="A28" t="s">
        <v>39</v>
      </c>
      <c r="B28">
        <v>1.6</v>
      </c>
      <c r="C28">
        <v>2.31</v>
      </c>
      <c r="G28" s="4" t="s">
        <v>38</v>
      </c>
      <c r="H28" s="4">
        <v>0.64</v>
      </c>
      <c r="I28" s="4">
        <v>1.49</v>
      </c>
    </row>
    <row r="29" spans="1:9" x14ac:dyDescent="0.3">
      <c r="A29" t="s">
        <v>40</v>
      </c>
      <c r="B29">
        <v>-1.38</v>
      </c>
      <c r="C29">
        <v>-0.9</v>
      </c>
      <c r="G29" s="4" t="s">
        <v>39</v>
      </c>
      <c r="H29" s="4">
        <v>1.6</v>
      </c>
      <c r="I29" s="4">
        <v>2.31</v>
      </c>
    </row>
    <row r="30" spans="1:9" x14ac:dyDescent="0.3">
      <c r="A30" t="s">
        <v>41</v>
      </c>
      <c r="B30">
        <v>0.33</v>
      </c>
      <c r="C30">
        <v>1.05</v>
      </c>
      <c r="G30" s="4" t="s">
        <v>40</v>
      </c>
      <c r="H30" s="4">
        <v>-1.38</v>
      </c>
      <c r="I30" s="4">
        <v>-0.9</v>
      </c>
    </row>
    <row r="31" spans="1:9" x14ac:dyDescent="0.3">
      <c r="A31" t="s">
        <v>42</v>
      </c>
      <c r="B31">
        <v>1.54</v>
      </c>
      <c r="C31">
        <v>2.12</v>
      </c>
      <c r="G31" s="4" t="s">
        <v>41</v>
      </c>
      <c r="H31" s="4">
        <v>0.33</v>
      </c>
      <c r="I31" s="4">
        <v>1.05</v>
      </c>
    </row>
    <row r="32" spans="1:9" x14ac:dyDescent="0.3">
      <c r="G32" s="4" t="s">
        <v>42</v>
      </c>
      <c r="H32" s="4">
        <v>1.54</v>
      </c>
      <c r="I32" s="4">
        <v>2.12</v>
      </c>
    </row>
    <row r="35" spans="7:9" x14ac:dyDescent="0.3">
      <c r="G35" t="s">
        <v>61</v>
      </c>
      <c r="H35" t="s">
        <v>62</v>
      </c>
      <c r="I35" t="s">
        <v>63</v>
      </c>
    </row>
    <row r="53" spans="7:10" x14ac:dyDescent="0.3">
      <c r="G53" t="s">
        <v>64</v>
      </c>
      <c r="H53" t="s">
        <v>65</v>
      </c>
    </row>
    <row r="54" spans="7:10" x14ac:dyDescent="0.3">
      <c r="G54" t="s">
        <v>66</v>
      </c>
      <c r="H54" t="s">
        <v>93</v>
      </c>
    </row>
    <row r="55" spans="7:10" x14ac:dyDescent="0.3">
      <c r="G55" t="s">
        <v>67</v>
      </c>
      <c r="H55" t="s">
        <v>92</v>
      </c>
    </row>
    <row r="57" spans="7:10" x14ac:dyDescent="0.3">
      <c r="G57" t="s">
        <v>94</v>
      </c>
      <c r="H57" t="s">
        <v>95</v>
      </c>
    </row>
    <row r="58" spans="7:10" x14ac:dyDescent="0.3">
      <c r="H58" t="s">
        <v>96</v>
      </c>
    </row>
    <row r="60" spans="7:10" x14ac:dyDescent="0.3">
      <c r="G60" t="s">
        <v>72</v>
      </c>
      <c r="H60" t="s">
        <v>97</v>
      </c>
    </row>
    <row r="62" spans="7:10" x14ac:dyDescent="0.3">
      <c r="H62" t="s">
        <v>98</v>
      </c>
    </row>
    <row r="63" spans="7:10" ht="15" thickBot="1" x14ac:dyDescent="0.35"/>
    <row r="64" spans="7:10" x14ac:dyDescent="0.3">
      <c r="H64" s="9"/>
      <c r="I64" s="9" t="s">
        <v>17</v>
      </c>
      <c r="J64" s="9" t="s">
        <v>18</v>
      </c>
    </row>
    <row r="65" spans="7:12" x14ac:dyDescent="0.3">
      <c r="H65" t="s">
        <v>99</v>
      </c>
      <c r="I65" s="12">
        <v>0.78541666666666654</v>
      </c>
      <c r="J65" s="12">
        <v>0.94041666666666668</v>
      </c>
      <c r="L65" t="s">
        <v>110</v>
      </c>
    </row>
    <row r="66" spans="7:12" x14ac:dyDescent="0.3">
      <c r="H66" t="s">
        <v>100</v>
      </c>
      <c r="I66">
        <v>1.0788432971014494</v>
      </c>
      <c r="J66">
        <v>2.0026563405797098</v>
      </c>
    </row>
    <row r="67" spans="7:12" x14ac:dyDescent="0.3">
      <c r="H67" t="s">
        <v>101</v>
      </c>
      <c r="I67">
        <v>24</v>
      </c>
      <c r="J67">
        <v>24</v>
      </c>
    </row>
    <row r="68" spans="7:12" x14ac:dyDescent="0.3">
      <c r="H68" t="s">
        <v>102</v>
      </c>
      <c r="I68">
        <v>0.85999659091262504</v>
      </c>
    </row>
    <row r="69" spans="7:12" x14ac:dyDescent="0.3">
      <c r="H69" t="s">
        <v>103</v>
      </c>
      <c r="I69">
        <v>0</v>
      </c>
    </row>
    <row r="70" spans="7:12" x14ac:dyDescent="0.3">
      <c r="H70" t="s">
        <v>104</v>
      </c>
      <c r="I70">
        <v>23</v>
      </c>
    </row>
    <row r="71" spans="7:12" x14ac:dyDescent="0.3">
      <c r="H71" t="s">
        <v>105</v>
      </c>
      <c r="I71">
        <v>-1.0208263341163943</v>
      </c>
    </row>
    <row r="72" spans="7:12" x14ac:dyDescent="0.3">
      <c r="H72" t="s">
        <v>106</v>
      </c>
      <c r="I72" s="13">
        <v>0.15897745384771694</v>
      </c>
      <c r="L72" t="s">
        <v>111</v>
      </c>
    </row>
    <row r="73" spans="7:12" x14ac:dyDescent="0.3">
      <c r="H73" t="s">
        <v>107</v>
      </c>
      <c r="I73">
        <v>1.7138715277470482</v>
      </c>
    </row>
    <row r="74" spans="7:12" x14ac:dyDescent="0.3">
      <c r="H74" t="s">
        <v>108</v>
      </c>
      <c r="I74" s="13">
        <v>0.31795490769543389</v>
      </c>
      <c r="L74" t="s">
        <v>111</v>
      </c>
    </row>
    <row r="75" spans="7:12" ht="15" thickBot="1" x14ac:dyDescent="0.35">
      <c r="H75" s="8" t="s">
        <v>109</v>
      </c>
      <c r="I75" s="8">
        <v>2.0686576104190491</v>
      </c>
      <c r="J75" s="8"/>
    </row>
    <row r="78" spans="7:12" x14ac:dyDescent="0.3">
      <c r="G78" t="s">
        <v>80</v>
      </c>
      <c r="H78" t="s">
        <v>81</v>
      </c>
    </row>
    <row r="79" spans="7:12" x14ac:dyDescent="0.3">
      <c r="H79" t="s">
        <v>112</v>
      </c>
    </row>
    <row r="80" spans="7:12" x14ac:dyDescent="0.3">
      <c r="H80" t="s">
        <v>113</v>
      </c>
    </row>
    <row r="82" spans="7:11" x14ac:dyDescent="0.3">
      <c r="G82" t="s">
        <v>86</v>
      </c>
      <c r="H82" t="s">
        <v>87</v>
      </c>
    </row>
    <row r="83" spans="7:11" x14ac:dyDescent="0.3">
      <c r="H83" t="s">
        <v>114</v>
      </c>
    </row>
    <row r="84" spans="7:11" x14ac:dyDescent="0.3">
      <c r="H84" t="s">
        <v>115</v>
      </c>
    </row>
    <row r="85" spans="7:11" x14ac:dyDescent="0.3">
      <c r="H85" t="s">
        <v>116</v>
      </c>
    </row>
    <row r="86" spans="7:11" x14ac:dyDescent="0.3">
      <c r="H86" t="s">
        <v>117</v>
      </c>
    </row>
    <row r="90" spans="7:11" x14ac:dyDescent="0.3">
      <c r="K90" t="s">
        <v>185</v>
      </c>
    </row>
  </sheetData>
  <mergeCells count="1">
    <mergeCell ref="A1:E5"/>
  </mergeCells>
  <conditionalFormatting sqref="H9:H32">
    <cfRule type="duplicateValues" dxfId="3" priority="2"/>
  </conditionalFormatting>
  <conditionalFormatting sqref="H35">
    <cfRule type="duplicateValues" dxfId="2" priority="1"/>
  </conditionalFormatting>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4"/>
  <sheetViews>
    <sheetView topLeftCell="C1" workbookViewId="0">
      <selection activeCell="G59" sqref="G59"/>
    </sheetView>
  </sheetViews>
  <sheetFormatPr defaultRowHeight="14.4" x14ac:dyDescent="0.3"/>
  <cols>
    <col min="2" max="2" width="14.77734375" bestFit="1" customWidth="1"/>
    <col min="3" max="3" width="20.21875" bestFit="1" customWidth="1"/>
    <col min="6" max="6" width="11.21875" customWidth="1"/>
    <col min="7" max="7" width="88.77734375" bestFit="1" customWidth="1"/>
    <col min="8" max="8" width="15" bestFit="1" customWidth="1"/>
    <col min="9" max="9" width="76.33203125" bestFit="1" customWidth="1"/>
  </cols>
  <sheetData>
    <row r="1" spans="1:9" x14ac:dyDescent="0.3">
      <c r="A1" s="16" t="s">
        <v>0</v>
      </c>
      <c r="B1" s="17"/>
      <c r="C1" s="17"/>
      <c r="D1" s="17"/>
      <c r="E1" s="17"/>
    </row>
    <row r="2" spans="1:9" x14ac:dyDescent="0.3">
      <c r="A2" s="17"/>
      <c r="B2" s="17"/>
      <c r="C2" s="17"/>
      <c r="D2" s="17"/>
      <c r="E2" s="17"/>
      <c r="F2" t="s">
        <v>51</v>
      </c>
      <c r="G2" t="s">
        <v>52</v>
      </c>
      <c r="H2" t="s">
        <v>53</v>
      </c>
      <c r="I2" t="s">
        <v>54</v>
      </c>
    </row>
    <row r="3" spans="1:9" x14ac:dyDescent="0.3">
      <c r="A3" s="17"/>
      <c r="B3" s="17"/>
      <c r="C3" s="17"/>
      <c r="D3" s="17"/>
      <c r="E3" s="17"/>
    </row>
    <row r="4" spans="1:9" x14ac:dyDescent="0.3">
      <c r="A4" s="17"/>
      <c r="B4" s="17"/>
      <c r="C4" s="17"/>
      <c r="D4" s="17"/>
      <c r="E4" s="17"/>
      <c r="F4" t="s">
        <v>55</v>
      </c>
      <c r="G4" t="s">
        <v>56</v>
      </c>
      <c r="H4" t="s">
        <v>59</v>
      </c>
      <c r="I4" t="s">
        <v>60</v>
      </c>
    </row>
    <row r="5" spans="1:9" ht="73.05" customHeight="1" x14ac:dyDescent="0.3">
      <c r="A5" s="17"/>
      <c r="B5" s="17"/>
      <c r="C5" s="17"/>
      <c r="D5" s="17"/>
      <c r="E5" s="17"/>
    </row>
    <row r="6" spans="1:9" x14ac:dyDescent="0.3">
      <c r="F6" s="4" t="s">
        <v>57</v>
      </c>
      <c r="G6" s="4"/>
      <c r="H6" s="4">
        <f>COUNTBLANK(H8:H19)</f>
        <v>0</v>
      </c>
      <c r="I6" s="4">
        <f>COUNTBLANK(I8:I19)</f>
        <v>0</v>
      </c>
    </row>
    <row r="7" spans="1:9" x14ac:dyDescent="0.3">
      <c r="A7" t="s">
        <v>1</v>
      </c>
      <c r="B7" s="3" t="s">
        <v>2</v>
      </c>
      <c r="C7" s="3" t="s">
        <v>3</v>
      </c>
      <c r="F7" s="4" t="s">
        <v>58</v>
      </c>
      <c r="G7" s="7" t="s">
        <v>1</v>
      </c>
      <c r="H7" s="5" t="s">
        <v>2</v>
      </c>
      <c r="I7" s="5" t="s">
        <v>3</v>
      </c>
    </row>
    <row r="8" spans="1:9" x14ac:dyDescent="0.3">
      <c r="A8" t="s">
        <v>4</v>
      </c>
      <c r="B8">
        <v>6.5</v>
      </c>
      <c r="C8">
        <v>1200</v>
      </c>
      <c r="G8" s="4" t="s">
        <v>4</v>
      </c>
      <c r="H8" s="4">
        <v>6.5</v>
      </c>
      <c r="I8" s="4">
        <v>1200</v>
      </c>
    </row>
    <row r="9" spans="1:9" x14ac:dyDescent="0.3">
      <c r="A9" t="s">
        <v>5</v>
      </c>
      <c r="B9">
        <v>6.4</v>
      </c>
      <c r="C9">
        <v>1250</v>
      </c>
      <c r="G9" s="4" t="s">
        <v>5</v>
      </c>
      <c r="H9" s="4">
        <v>6.4</v>
      </c>
      <c r="I9" s="4">
        <v>1250</v>
      </c>
    </row>
    <row r="10" spans="1:9" x14ac:dyDescent="0.3">
      <c r="A10" t="s">
        <v>6</v>
      </c>
      <c r="B10">
        <v>6.3</v>
      </c>
      <c r="C10">
        <v>1300</v>
      </c>
      <c r="G10" s="4" t="s">
        <v>6</v>
      </c>
      <c r="H10" s="4">
        <v>6.3</v>
      </c>
      <c r="I10" s="4">
        <v>1300</v>
      </c>
    </row>
    <row r="11" spans="1:9" x14ac:dyDescent="0.3">
      <c r="A11" t="s">
        <v>7</v>
      </c>
      <c r="B11">
        <v>6.3</v>
      </c>
      <c r="C11">
        <v>1320</v>
      </c>
      <c r="G11" s="4" t="s">
        <v>7</v>
      </c>
      <c r="H11" s="4">
        <v>6.3</v>
      </c>
      <c r="I11" s="4">
        <v>1320</v>
      </c>
    </row>
    <row r="12" spans="1:9" x14ac:dyDescent="0.3">
      <c r="A12" t="s">
        <v>8</v>
      </c>
      <c r="B12">
        <v>6.2</v>
      </c>
      <c r="C12">
        <v>1350</v>
      </c>
      <c r="G12" s="4" t="s">
        <v>8</v>
      </c>
      <c r="H12" s="4">
        <v>6.2</v>
      </c>
      <c r="I12" s="4">
        <v>1350</v>
      </c>
    </row>
    <row r="13" spans="1:9" x14ac:dyDescent="0.3">
      <c r="A13" t="s">
        <v>9</v>
      </c>
      <c r="B13">
        <v>6.1</v>
      </c>
      <c r="C13">
        <v>1380</v>
      </c>
      <c r="G13" s="4" t="s">
        <v>9</v>
      </c>
      <c r="H13" s="4">
        <v>6.1</v>
      </c>
      <c r="I13" s="4">
        <v>1380</v>
      </c>
    </row>
    <row r="14" spans="1:9" x14ac:dyDescent="0.3">
      <c r="A14" t="s">
        <v>10</v>
      </c>
      <c r="B14">
        <v>6</v>
      </c>
      <c r="C14">
        <v>1420</v>
      </c>
      <c r="G14" s="4" t="s">
        <v>10</v>
      </c>
      <c r="H14" s="4">
        <v>6</v>
      </c>
      <c r="I14" s="4">
        <v>1420</v>
      </c>
    </row>
    <row r="15" spans="1:9" x14ac:dyDescent="0.3">
      <c r="A15" t="s">
        <v>11</v>
      </c>
      <c r="B15">
        <v>6</v>
      </c>
      <c r="C15">
        <v>1450</v>
      </c>
      <c r="G15" s="4" t="s">
        <v>11</v>
      </c>
      <c r="H15" s="4">
        <v>6</v>
      </c>
      <c r="I15" s="4">
        <v>1450</v>
      </c>
    </row>
    <row r="16" spans="1:9" x14ac:dyDescent="0.3">
      <c r="A16" t="s">
        <v>12</v>
      </c>
      <c r="B16">
        <v>6.1</v>
      </c>
      <c r="C16">
        <v>1480</v>
      </c>
      <c r="G16" s="4" t="s">
        <v>12</v>
      </c>
      <c r="H16" s="4">
        <v>6.1</v>
      </c>
      <c r="I16" s="4">
        <v>1480</v>
      </c>
    </row>
    <row r="17" spans="1:9" x14ac:dyDescent="0.3">
      <c r="A17" t="s">
        <v>13</v>
      </c>
      <c r="B17">
        <v>6.2</v>
      </c>
      <c r="C17">
        <v>1500</v>
      </c>
      <c r="G17" s="4" t="s">
        <v>13</v>
      </c>
      <c r="H17" s="4">
        <v>6.2</v>
      </c>
      <c r="I17" s="4">
        <v>1500</v>
      </c>
    </row>
    <row r="18" spans="1:9" x14ac:dyDescent="0.3">
      <c r="A18" t="s">
        <v>14</v>
      </c>
      <c r="B18">
        <v>6.3</v>
      </c>
      <c r="C18">
        <v>1530</v>
      </c>
      <c r="G18" s="4" t="s">
        <v>14</v>
      </c>
      <c r="H18" s="4">
        <v>6.3</v>
      </c>
      <c r="I18" s="4">
        <v>1530</v>
      </c>
    </row>
    <row r="19" spans="1:9" x14ac:dyDescent="0.3">
      <c r="A19" t="s">
        <v>15</v>
      </c>
      <c r="B19">
        <v>6.4</v>
      </c>
      <c r="C19">
        <v>1550</v>
      </c>
      <c r="G19" s="4" t="s">
        <v>15</v>
      </c>
      <c r="H19" s="4">
        <v>6.4</v>
      </c>
      <c r="I19" s="4">
        <v>1550</v>
      </c>
    </row>
    <row r="22" spans="1:9" x14ac:dyDescent="0.3">
      <c r="F22" t="s">
        <v>61</v>
      </c>
      <c r="G22" t="s">
        <v>62</v>
      </c>
      <c r="H22" t="s">
        <v>63</v>
      </c>
    </row>
    <row r="39" spans="6:8" x14ac:dyDescent="0.3">
      <c r="F39" t="s">
        <v>64</v>
      </c>
      <c r="G39" t="s">
        <v>65</v>
      </c>
    </row>
    <row r="40" spans="6:8" x14ac:dyDescent="0.3">
      <c r="F40" t="s">
        <v>66</v>
      </c>
      <c r="G40" t="s">
        <v>84</v>
      </c>
    </row>
    <row r="41" spans="6:8" x14ac:dyDescent="0.3">
      <c r="F41" t="s">
        <v>67</v>
      </c>
      <c r="G41" t="s">
        <v>83</v>
      </c>
    </row>
    <row r="43" spans="6:8" x14ac:dyDescent="0.3">
      <c r="F43" t="s">
        <v>68</v>
      </c>
      <c r="G43" t="s">
        <v>69</v>
      </c>
      <c r="H43" t="s">
        <v>71</v>
      </c>
    </row>
    <row r="44" spans="6:8" x14ac:dyDescent="0.3">
      <c r="G44" t="s">
        <v>70</v>
      </c>
    </row>
    <row r="46" spans="6:8" x14ac:dyDescent="0.3">
      <c r="F46" t="s">
        <v>72</v>
      </c>
      <c r="G46" t="s">
        <v>73</v>
      </c>
    </row>
    <row r="47" spans="6:8" x14ac:dyDescent="0.3">
      <c r="F47" t="s">
        <v>74</v>
      </c>
      <c r="G47" t="s">
        <v>75</v>
      </c>
    </row>
    <row r="48" spans="6:8" ht="15" thickBot="1" x14ac:dyDescent="0.35"/>
    <row r="49" spans="6:10" x14ac:dyDescent="0.3">
      <c r="G49" s="9"/>
      <c r="H49" s="9" t="s">
        <v>2</v>
      </c>
      <c r="I49" s="9" t="s">
        <v>3</v>
      </c>
    </row>
    <row r="50" spans="6:10" x14ac:dyDescent="0.3">
      <c r="G50" t="s">
        <v>2</v>
      </c>
      <c r="H50">
        <v>1</v>
      </c>
    </row>
    <row r="51" spans="6:10" ht="15" thickBot="1" x14ac:dyDescent="0.35">
      <c r="G51" s="8" t="s">
        <v>3</v>
      </c>
      <c r="H51" s="10">
        <v>-0.41251113570703618</v>
      </c>
      <c r="I51" s="8">
        <v>1</v>
      </c>
      <c r="J51" t="s">
        <v>79</v>
      </c>
    </row>
    <row r="53" spans="6:10" x14ac:dyDescent="0.3">
      <c r="G53" t="s">
        <v>76</v>
      </c>
    </row>
    <row r="54" spans="6:10" x14ac:dyDescent="0.3">
      <c r="G54" t="s">
        <v>77</v>
      </c>
      <c r="H54" t="s">
        <v>78</v>
      </c>
    </row>
    <row r="56" spans="6:10" x14ac:dyDescent="0.3">
      <c r="F56" t="s">
        <v>80</v>
      </c>
      <c r="G56" t="s">
        <v>81</v>
      </c>
    </row>
    <row r="57" spans="6:10" x14ac:dyDescent="0.3">
      <c r="G57" t="s">
        <v>82</v>
      </c>
    </row>
    <row r="58" spans="6:10" x14ac:dyDescent="0.3">
      <c r="G58" t="s">
        <v>85</v>
      </c>
    </row>
    <row r="60" spans="6:10" x14ac:dyDescent="0.3">
      <c r="F60" t="s">
        <v>86</v>
      </c>
      <c r="G60" t="s">
        <v>87</v>
      </c>
    </row>
    <row r="61" spans="6:10" x14ac:dyDescent="0.3">
      <c r="G61" t="s">
        <v>91</v>
      </c>
    </row>
    <row r="62" spans="6:10" x14ac:dyDescent="0.3">
      <c r="G62" t="s">
        <v>88</v>
      </c>
    </row>
    <row r="63" spans="6:10" x14ac:dyDescent="0.3">
      <c r="G63" t="s">
        <v>89</v>
      </c>
    </row>
    <row r="64" spans="6:10" x14ac:dyDescent="0.3">
      <c r="G64" t="s">
        <v>90</v>
      </c>
    </row>
  </sheetData>
  <mergeCells count="1">
    <mergeCell ref="A1:E5"/>
  </mergeCells>
  <conditionalFormatting sqref="G7:I19 G22">
    <cfRule type="duplicateValues" dxfId="1" priority="1"/>
  </conditionalFormatting>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7"/>
  <sheetViews>
    <sheetView topLeftCell="A12" workbookViewId="0">
      <selection activeCell="G7" sqref="G7:H8"/>
    </sheetView>
  </sheetViews>
  <sheetFormatPr defaultRowHeight="14.4" x14ac:dyDescent="0.3"/>
  <cols>
    <col min="1" max="1" width="11" bestFit="1" customWidth="1"/>
    <col min="2" max="2" width="7.33203125" bestFit="1" customWidth="1"/>
    <col min="3" max="3" width="17.21875" bestFit="1" customWidth="1"/>
    <col min="5" max="5" width="34.6640625" customWidth="1"/>
    <col min="7" max="7" width="17.6640625" bestFit="1" customWidth="1"/>
    <col min="8" max="8" width="26.88671875" bestFit="1" customWidth="1"/>
  </cols>
  <sheetData>
    <row r="1" spans="1:9" x14ac:dyDescent="0.3">
      <c r="A1" s="16" t="s">
        <v>43</v>
      </c>
      <c r="B1" s="17"/>
      <c r="C1" s="17"/>
      <c r="D1" s="17"/>
      <c r="E1" s="17"/>
    </row>
    <row r="2" spans="1:9" x14ac:dyDescent="0.3">
      <c r="A2" s="17"/>
      <c r="B2" s="17"/>
      <c r="C2" s="17"/>
      <c r="D2" s="17"/>
      <c r="E2" s="17"/>
    </row>
    <row r="3" spans="1:9" x14ac:dyDescent="0.3">
      <c r="A3" s="17"/>
      <c r="B3" s="17"/>
      <c r="C3" s="17"/>
      <c r="D3" s="17"/>
      <c r="E3" s="17"/>
    </row>
    <row r="4" spans="1:9" x14ac:dyDescent="0.3">
      <c r="A4" s="17"/>
      <c r="B4" s="17"/>
      <c r="C4" s="17"/>
      <c r="D4" s="17"/>
      <c r="E4" s="17"/>
    </row>
    <row r="5" spans="1:9" x14ac:dyDescent="0.3">
      <c r="A5" s="17"/>
      <c r="B5" s="17"/>
      <c r="C5" s="17"/>
      <c r="D5" s="17"/>
      <c r="E5" s="17"/>
    </row>
    <row r="6" spans="1:9" x14ac:dyDescent="0.3">
      <c r="G6" t="s">
        <v>64</v>
      </c>
      <c r="H6" t="s">
        <v>65</v>
      </c>
    </row>
    <row r="7" spans="1:9" ht="28.8" x14ac:dyDescent="0.3">
      <c r="A7" s="1" t="s">
        <v>44</v>
      </c>
      <c r="B7" s="1" t="s">
        <v>45</v>
      </c>
      <c r="C7" s="1" t="s">
        <v>46</v>
      </c>
      <c r="D7" s="1" t="s">
        <v>47</v>
      </c>
      <c r="G7" s="1" t="s">
        <v>118</v>
      </c>
      <c r="H7" t="s">
        <v>121</v>
      </c>
    </row>
    <row r="8" spans="1:9" x14ac:dyDescent="0.3">
      <c r="A8" s="2">
        <v>1</v>
      </c>
      <c r="B8" s="2">
        <v>7.0000000000000007E-2</v>
      </c>
      <c r="C8" s="2">
        <v>5.71</v>
      </c>
      <c r="D8" s="2">
        <v>1.39</v>
      </c>
      <c r="G8" t="s">
        <v>119</v>
      </c>
      <c r="H8" t="s">
        <v>120</v>
      </c>
    </row>
    <row r="9" spans="1:9" x14ac:dyDescent="0.3">
      <c r="A9" s="2">
        <v>2</v>
      </c>
      <c r="B9" s="2">
        <v>-0.09</v>
      </c>
      <c r="C9" s="2">
        <v>1.08</v>
      </c>
      <c r="D9" s="2">
        <v>2.2400000000000002</v>
      </c>
    </row>
    <row r="10" spans="1:9" x14ac:dyDescent="0.3">
      <c r="A10" s="2">
        <v>3</v>
      </c>
      <c r="B10" s="2">
        <v>0.35</v>
      </c>
      <c r="C10" s="2">
        <v>4.99</v>
      </c>
      <c r="D10" s="2">
        <v>3.17</v>
      </c>
      <c r="G10" t="s">
        <v>94</v>
      </c>
      <c r="H10" t="s">
        <v>122</v>
      </c>
      <c r="I10" t="s">
        <v>124</v>
      </c>
    </row>
    <row r="11" spans="1:9" x14ac:dyDescent="0.3">
      <c r="A11" s="2">
        <v>4</v>
      </c>
      <c r="B11" s="2">
        <v>2.1</v>
      </c>
      <c r="C11" s="2">
        <v>2.0299999999999998</v>
      </c>
      <c r="D11" s="2">
        <v>0.93</v>
      </c>
      <c r="H11" t="s">
        <v>123</v>
      </c>
    </row>
    <row r="12" spans="1:9" x14ac:dyDescent="0.3">
      <c r="A12" s="2">
        <v>5</v>
      </c>
      <c r="B12" s="2">
        <v>0.75</v>
      </c>
      <c r="C12" s="2">
        <v>0.77</v>
      </c>
      <c r="D12" s="2">
        <v>-0.68</v>
      </c>
    </row>
    <row r="13" spans="1:9" x14ac:dyDescent="0.3">
      <c r="A13" s="2">
        <v>6</v>
      </c>
      <c r="B13" s="2">
        <v>1.1399999999999999</v>
      </c>
      <c r="C13" s="2">
        <v>3.52</v>
      </c>
      <c r="D13" s="2">
        <v>2.81</v>
      </c>
      <c r="G13" t="s">
        <v>72</v>
      </c>
      <c r="H13" t="s">
        <v>97</v>
      </c>
    </row>
    <row r="14" spans="1:9" x14ac:dyDescent="0.3">
      <c r="A14" s="2">
        <v>7</v>
      </c>
      <c r="B14" s="2">
        <v>1.01</v>
      </c>
      <c r="C14" s="2">
        <v>4.21</v>
      </c>
      <c r="D14" s="2">
        <v>1.67</v>
      </c>
    </row>
    <row r="15" spans="1:9" x14ac:dyDescent="0.3">
      <c r="A15" s="2">
        <v>8</v>
      </c>
      <c r="B15" s="2">
        <v>0.93</v>
      </c>
      <c r="C15" s="2">
        <v>3.85</v>
      </c>
      <c r="D15" s="2">
        <v>1.1499999999999999</v>
      </c>
      <c r="G15" t="s">
        <v>125</v>
      </c>
    </row>
    <row r="16" spans="1:9" x14ac:dyDescent="0.3">
      <c r="A16" s="2">
        <v>9</v>
      </c>
      <c r="B16" s="2">
        <v>1.28</v>
      </c>
      <c r="C16" s="2">
        <v>3.71</v>
      </c>
      <c r="D16" s="2">
        <v>2.19</v>
      </c>
    </row>
    <row r="17" spans="1:14" ht="15" thickBot="1" x14ac:dyDescent="0.35">
      <c r="A17" s="2">
        <v>10</v>
      </c>
      <c r="B17" s="2">
        <v>0.56999999999999995</v>
      </c>
      <c r="C17" s="2">
        <v>1.54</v>
      </c>
      <c r="D17" s="2">
        <v>0.84</v>
      </c>
      <c r="G17" t="s">
        <v>126</v>
      </c>
    </row>
    <row r="18" spans="1:14" x14ac:dyDescent="0.3">
      <c r="A18" s="2">
        <v>11</v>
      </c>
      <c r="B18" s="2">
        <v>0.66</v>
      </c>
      <c r="C18" s="2">
        <v>3.88</v>
      </c>
      <c r="D18" s="2">
        <v>1.95</v>
      </c>
      <c r="G18" s="9" t="s">
        <v>127</v>
      </c>
      <c r="H18" s="9" t="s">
        <v>128</v>
      </c>
      <c r="I18" s="9" t="s">
        <v>129</v>
      </c>
      <c r="J18" s="9" t="s">
        <v>130</v>
      </c>
      <c r="K18" s="9" t="s">
        <v>100</v>
      </c>
    </row>
    <row r="19" spans="1:14" x14ac:dyDescent="0.3">
      <c r="A19" s="2">
        <v>12</v>
      </c>
      <c r="B19" s="2">
        <v>0.91</v>
      </c>
      <c r="C19" s="2">
        <v>2.71</v>
      </c>
      <c r="D19" s="2">
        <v>2.08</v>
      </c>
      <c r="G19" t="s">
        <v>45</v>
      </c>
      <c r="H19">
        <v>50</v>
      </c>
      <c r="I19">
        <v>46.47999999999999</v>
      </c>
      <c r="J19">
        <v>0.92959999999999976</v>
      </c>
      <c r="K19">
        <v>0.11619575510204115</v>
      </c>
      <c r="L19" t="s">
        <v>141</v>
      </c>
    </row>
    <row r="20" spans="1:14" ht="15" thickBot="1" x14ac:dyDescent="0.35">
      <c r="A20" s="2">
        <v>13</v>
      </c>
      <c r="B20" s="2">
        <v>0.48</v>
      </c>
      <c r="C20" s="2">
        <v>2.33</v>
      </c>
      <c r="D20" s="2">
        <v>1.44</v>
      </c>
      <c r="G20" s="8" t="s">
        <v>46</v>
      </c>
      <c r="H20" s="8">
        <v>50</v>
      </c>
      <c r="I20" s="8">
        <v>141.66999999999999</v>
      </c>
      <c r="J20" s="8">
        <v>2.8333999999999997</v>
      </c>
      <c r="K20" s="8">
        <v>0.77827595918367543</v>
      </c>
    </row>
    <row r="21" spans="1:14" x14ac:dyDescent="0.3">
      <c r="A21" s="2">
        <v>14</v>
      </c>
      <c r="B21" s="2">
        <v>1.03</v>
      </c>
      <c r="C21" s="2">
        <v>2.94</v>
      </c>
      <c r="D21" s="2">
        <v>2.67</v>
      </c>
    </row>
    <row r="22" spans="1:14" x14ac:dyDescent="0.3">
      <c r="A22" s="2">
        <v>15</v>
      </c>
      <c r="B22" s="2">
        <v>1.27</v>
      </c>
      <c r="C22" s="2">
        <v>3.26</v>
      </c>
      <c r="D22" s="2">
        <v>1.51</v>
      </c>
    </row>
    <row r="23" spans="1:14" ht="15" thickBot="1" x14ac:dyDescent="0.35">
      <c r="A23" s="2">
        <v>16</v>
      </c>
      <c r="B23" s="2">
        <v>0.84</v>
      </c>
      <c r="C23" s="2">
        <v>1.98</v>
      </c>
      <c r="D23" s="2">
        <v>0.89</v>
      </c>
      <c r="G23" t="s">
        <v>131</v>
      </c>
    </row>
    <row r="24" spans="1:14" x14ac:dyDescent="0.3">
      <c r="A24" s="2">
        <v>17</v>
      </c>
      <c r="B24" s="2">
        <v>0.56999999999999995</v>
      </c>
      <c r="C24" s="2">
        <v>2.12</v>
      </c>
      <c r="D24" s="2">
        <v>1.18</v>
      </c>
      <c r="G24" s="9" t="s">
        <v>132</v>
      </c>
      <c r="H24" s="9" t="s">
        <v>133</v>
      </c>
      <c r="I24" s="9" t="s">
        <v>104</v>
      </c>
      <c r="J24" s="9" t="s">
        <v>134</v>
      </c>
      <c r="K24" s="9" t="s">
        <v>135</v>
      </c>
      <c r="L24" s="9" t="s">
        <v>136</v>
      </c>
      <c r="M24" s="9" t="s">
        <v>137</v>
      </c>
    </row>
    <row r="25" spans="1:14" x14ac:dyDescent="0.3">
      <c r="A25" s="2">
        <v>18</v>
      </c>
      <c r="B25" s="2">
        <v>1.1100000000000001</v>
      </c>
      <c r="C25" s="2">
        <v>2.4700000000000002</v>
      </c>
      <c r="D25" s="2">
        <v>1.62</v>
      </c>
      <c r="G25" t="s">
        <v>138</v>
      </c>
      <c r="H25">
        <v>90.611361000000016</v>
      </c>
      <c r="I25">
        <v>1</v>
      </c>
      <c r="J25">
        <v>90.611361000000016</v>
      </c>
      <c r="K25" s="13">
        <v>202.60307744299828</v>
      </c>
      <c r="L25" s="13">
        <v>1.3715650421805473E-25</v>
      </c>
      <c r="M25" s="13">
        <v>3.9381110780033723</v>
      </c>
      <c r="N25" t="s">
        <v>142</v>
      </c>
    </row>
    <row r="26" spans="1:14" x14ac:dyDescent="0.3">
      <c r="A26" s="2">
        <v>19</v>
      </c>
      <c r="B26" s="2">
        <v>0.76</v>
      </c>
      <c r="C26" s="2">
        <v>1.78</v>
      </c>
      <c r="D26" s="2">
        <v>1.0900000000000001</v>
      </c>
      <c r="G26" t="s">
        <v>139</v>
      </c>
      <c r="H26">
        <v>43.829114000000004</v>
      </c>
      <c r="I26">
        <v>98</v>
      </c>
      <c r="J26">
        <v>0.44723585714285718</v>
      </c>
      <c r="N26" t="s">
        <v>143</v>
      </c>
    </row>
    <row r="27" spans="1:14" x14ac:dyDescent="0.3">
      <c r="A27" s="2">
        <v>20</v>
      </c>
      <c r="B27" s="2">
        <v>1.33</v>
      </c>
      <c r="C27" s="2">
        <v>3.05</v>
      </c>
      <c r="D27" s="2">
        <v>2.41</v>
      </c>
      <c r="N27" t="s">
        <v>144</v>
      </c>
    </row>
    <row r="28" spans="1:14" ht="15" thickBot="1" x14ac:dyDescent="0.35">
      <c r="A28" s="2">
        <v>21</v>
      </c>
      <c r="B28" s="2">
        <v>1.29</v>
      </c>
      <c r="C28" s="2">
        <v>2.66</v>
      </c>
      <c r="D28" s="2">
        <v>1.77</v>
      </c>
      <c r="G28" s="8" t="s">
        <v>140</v>
      </c>
      <c r="H28" s="8">
        <v>134.44047500000002</v>
      </c>
      <c r="I28" s="8">
        <v>99</v>
      </c>
      <c r="J28" s="8"/>
      <c r="K28" s="8"/>
      <c r="L28" s="8"/>
      <c r="M28" s="8"/>
    </row>
    <row r="29" spans="1:14" x14ac:dyDescent="0.3">
      <c r="A29" s="2">
        <v>22</v>
      </c>
      <c r="B29" s="2">
        <v>0.82</v>
      </c>
      <c r="C29" s="2">
        <v>3.11</v>
      </c>
      <c r="D29" s="2">
        <v>1.88</v>
      </c>
    </row>
    <row r="30" spans="1:14" x14ac:dyDescent="0.3">
      <c r="A30" s="2">
        <v>23</v>
      </c>
      <c r="B30" s="2">
        <v>1.1499999999999999</v>
      </c>
      <c r="C30" s="2">
        <v>2.84</v>
      </c>
      <c r="D30" s="2">
        <v>2.2599999999999998</v>
      </c>
      <c r="G30" t="s">
        <v>80</v>
      </c>
      <c r="H30" t="s">
        <v>81</v>
      </c>
    </row>
    <row r="31" spans="1:14" x14ac:dyDescent="0.3">
      <c r="A31" s="2">
        <v>24</v>
      </c>
      <c r="B31" s="2">
        <v>0.69</v>
      </c>
      <c r="C31" s="2">
        <v>2.09</v>
      </c>
      <c r="D31" s="2">
        <v>1.36</v>
      </c>
      <c r="H31" t="s">
        <v>145</v>
      </c>
    </row>
    <row r="32" spans="1:14" x14ac:dyDescent="0.3">
      <c r="A32" s="2">
        <v>25</v>
      </c>
      <c r="B32" s="2">
        <v>0.96</v>
      </c>
      <c r="C32" s="2">
        <v>2.41</v>
      </c>
      <c r="D32" s="2">
        <v>1.63</v>
      </c>
    </row>
    <row r="33" spans="1:8" x14ac:dyDescent="0.3">
      <c r="A33" s="2">
        <v>26</v>
      </c>
      <c r="B33" s="2">
        <v>0.88</v>
      </c>
      <c r="C33" s="2">
        <v>3.18</v>
      </c>
      <c r="D33" s="2">
        <v>2.3199999999999998</v>
      </c>
      <c r="G33" t="s">
        <v>86</v>
      </c>
      <c r="H33" t="s">
        <v>146</v>
      </c>
    </row>
    <row r="34" spans="1:8" x14ac:dyDescent="0.3">
      <c r="A34" s="2">
        <v>27</v>
      </c>
      <c r="B34" s="2">
        <v>1.22</v>
      </c>
      <c r="C34" s="2">
        <v>2.93</v>
      </c>
      <c r="D34" s="2">
        <v>2.11</v>
      </c>
      <c r="H34" t="s">
        <v>147</v>
      </c>
    </row>
    <row r="35" spans="1:8" x14ac:dyDescent="0.3">
      <c r="A35" s="2">
        <v>28</v>
      </c>
      <c r="B35" s="2">
        <v>0.54</v>
      </c>
      <c r="C35" s="2">
        <v>2.57</v>
      </c>
      <c r="D35" s="2">
        <v>1.27</v>
      </c>
      <c r="H35" t="s">
        <v>148</v>
      </c>
    </row>
    <row r="36" spans="1:8" x14ac:dyDescent="0.3">
      <c r="A36" s="2">
        <v>29</v>
      </c>
      <c r="B36" s="2">
        <v>0.95</v>
      </c>
      <c r="C36" s="2">
        <v>3.46</v>
      </c>
      <c r="D36" s="2">
        <v>2.19</v>
      </c>
      <c r="H36" t="s">
        <v>149</v>
      </c>
    </row>
    <row r="37" spans="1:8" x14ac:dyDescent="0.3">
      <c r="A37" s="2">
        <v>30</v>
      </c>
      <c r="B37" s="2">
        <v>1.1000000000000001</v>
      </c>
      <c r="C37" s="2">
        <v>2.25</v>
      </c>
      <c r="D37" s="2">
        <v>1.52</v>
      </c>
    </row>
    <row r="38" spans="1:8" x14ac:dyDescent="0.3">
      <c r="A38" s="2">
        <v>31</v>
      </c>
      <c r="B38" s="2">
        <v>0.83</v>
      </c>
      <c r="C38" s="2">
        <v>3.31</v>
      </c>
      <c r="D38" s="2">
        <v>1.84</v>
      </c>
    </row>
    <row r="39" spans="1:8" x14ac:dyDescent="0.3">
      <c r="A39" s="2">
        <v>32</v>
      </c>
      <c r="B39" s="2">
        <v>1.06</v>
      </c>
      <c r="C39" s="2">
        <v>2.72</v>
      </c>
      <c r="D39" s="2">
        <v>1.66</v>
      </c>
    </row>
    <row r="40" spans="1:8" x14ac:dyDescent="0.3">
      <c r="A40" s="2">
        <v>33</v>
      </c>
      <c r="B40" s="2">
        <v>0.71</v>
      </c>
      <c r="C40" s="2">
        <v>3.57</v>
      </c>
      <c r="D40" s="2">
        <v>1.79</v>
      </c>
    </row>
    <row r="41" spans="1:8" x14ac:dyDescent="0.3">
      <c r="A41" s="2">
        <v>34</v>
      </c>
      <c r="B41" s="2">
        <v>1.08</v>
      </c>
      <c r="C41" s="2">
        <v>2.63</v>
      </c>
      <c r="D41" s="2">
        <v>1.47</v>
      </c>
    </row>
    <row r="42" spans="1:8" x14ac:dyDescent="0.3">
      <c r="A42" s="2">
        <v>35</v>
      </c>
      <c r="B42" s="2">
        <v>0.92</v>
      </c>
      <c r="C42" s="2">
        <v>3.12</v>
      </c>
      <c r="D42" s="2">
        <v>2.0699999999999998</v>
      </c>
    </row>
    <row r="43" spans="1:8" x14ac:dyDescent="0.3">
      <c r="A43" s="2">
        <v>36</v>
      </c>
      <c r="B43" s="2">
        <v>1.04</v>
      </c>
      <c r="C43" s="2">
        <v>2.89</v>
      </c>
      <c r="D43" s="2">
        <v>1.62</v>
      </c>
    </row>
    <row r="44" spans="1:8" x14ac:dyDescent="0.3">
      <c r="A44" s="2">
        <v>37</v>
      </c>
      <c r="B44" s="2">
        <v>0.78</v>
      </c>
      <c r="C44" s="2">
        <v>2.1800000000000002</v>
      </c>
      <c r="D44" s="2">
        <v>1.28</v>
      </c>
    </row>
    <row r="45" spans="1:8" x14ac:dyDescent="0.3">
      <c r="A45" s="2">
        <v>38</v>
      </c>
      <c r="B45" s="2">
        <v>1.25</v>
      </c>
      <c r="C45" s="2">
        <v>2.46</v>
      </c>
      <c r="D45" s="2">
        <v>1.99</v>
      </c>
    </row>
    <row r="46" spans="1:8" x14ac:dyDescent="0.3">
      <c r="A46" s="2">
        <v>39</v>
      </c>
      <c r="B46" s="2">
        <v>0.89</v>
      </c>
      <c r="C46" s="2">
        <v>3.07</v>
      </c>
      <c r="D46" s="2">
        <v>2.1</v>
      </c>
    </row>
    <row r="47" spans="1:8" x14ac:dyDescent="0.3">
      <c r="A47" s="2">
        <v>40</v>
      </c>
      <c r="B47" s="2">
        <v>1.18</v>
      </c>
      <c r="C47" s="2">
        <v>2.68</v>
      </c>
      <c r="D47" s="2">
        <v>1.64</v>
      </c>
    </row>
    <row r="48" spans="1:8" x14ac:dyDescent="0.3">
      <c r="A48" s="2">
        <v>41</v>
      </c>
      <c r="B48" s="2">
        <v>1.07</v>
      </c>
      <c r="C48" s="2">
        <v>3.32</v>
      </c>
      <c r="D48" s="2">
        <v>2.0299999999999998</v>
      </c>
    </row>
    <row r="49" spans="1:4" x14ac:dyDescent="0.3">
      <c r="A49" s="2">
        <v>42</v>
      </c>
      <c r="B49" s="2">
        <v>0.73</v>
      </c>
      <c r="C49" s="2">
        <v>2.59</v>
      </c>
      <c r="D49" s="2">
        <v>1.43</v>
      </c>
    </row>
    <row r="50" spans="1:4" x14ac:dyDescent="0.3">
      <c r="A50" s="2">
        <v>43</v>
      </c>
      <c r="B50" s="2">
        <v>1.1100000000000001</v>
      </c>
      <c r="C50" s="2">
        <v>3.14</v>
      </c>
      <c r="D50" s="2">
        <v>1.76</v>
      </c>
    </row>
    <row r="51" spans="1:4" x14ac:dyDescent="0.3">
      <c r="A51" s="2">
        <v>44</v>
      </c>
      <c r="B51" s="2">
        <v>0.79</v>
      </c>
      <c r="C51" s="2">
        <v>2.91</v>
      </c>
      <c r="D51" s="2">
        <v>1.53</v>
      </c>
    </row>
    <row r="52" spans="1:4" x14ac:dyDescent="0.3">
      <c r="A52" s="2">
        <v>45</v>
      </c>
      <c r="B52" s="2">
        <v>1.19</v>
      </c>
      <c r="C52" s="2">
        <v>2.77</v>
      </c>
      <c r="D52" s="2">
        <v>1.69</v>
      </c>
    </row>
    <row r="53" spans="1:4" x14ac:dyDescent="0.3">
      <c r="A53" s="2">
        <v>46</v>
      </c>
      <c r="B53" s="2">
        <v>0.85</v>
      </c>
      <c r="C53" s="2">
        <v>3.21</v>
      </c>
      <c r="D53" s="2">
        <v>1.95</v>
      </c>
    </row>
    <row r="54" spans="1:4" x14ac:dyDescent="0.3">
      <c r="A54" s="2">
        <v>47</v>
      </c>
      <c r="B54" s="2">
        <v>1.1200000000000001</v>
      </c>
      <c r="C54" s="2">
        <v>2.95</v>
      </c>
      <c r="D54" s="2">
        <v>1.81</v>
      </c>
    </row>
    <row r="55" spans="1:4" x14ac:dyDescent="0.3">
      <c r="A55" s="2">
        <v>48</v>
      </c>
      <c r="B55" s="2">
        <v>0.97</v>
      </c>
      <c r="C55" s="2">
        <v>2.63</v>
      </c>
      <c r="D55" s="2">
        <v>1.57</v>
      </c>
    </row>
    <row r="56" spans="1:4" x14ac:dyDescent="0.3">
      <c r="A56" s="2">
        <v>49</v>
      </c>
      <c r="B56" s="2">
        <v>1.0900000000000001</v>
      </c>
      <c r="C56" s="2">
        <v>3.08</v>
      </c>
      <c r="D56" s="2">
        <v>1.74</v>
      </c>
    </row>
    <row r="57" spans="1:4" x14ac:dyDescent="0.3">
      <c r="A57" s="2">
        <v>50</v>
      </c>
      <c r="B57" s="2">
        <v>1.1499999999999999</v>
      </c>
      <c r="C57" s="2">
        <v>1.01</v>
      </c>
      <c r="D57" s="2">
        <v>0.85</v>
      </c>
    </row>
  </sheetData>
  <mergeCells count="1">
    <mergeCell ref="A1:E5"/>
  </mergeCells>
  <conditionalFormatting sqref="A7:D57">
    <cfRule type="duplicateValues" dxfId="0" priority="1"/>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65"/>
  <sheetViews>
    <sheetView workbookViewId="0">
      <selection activeCell="G65" sqref="G65"/>
    </sheetView>
  </sheetViews>
  <sheetFormatPr defaultRowHeight="14.4" x14ac:dyDescent="0.3"/>
  <cols>
    <col min="2" max="2" width="21.33203125" bestFit="1" customWidth="1"/>
    <col min="3" max="3" width="14.33203125" bestFit="1" customWidth="1"/>
    <col min="5" max="5" width="31" customWidth="1"/>
    <col min="7" max="7" width="75.6640625" customWidth="1"/>
    <col min="8" max="8" width="44.77734375" bestFit="1" customWidth="1"/>
    <col min="9" max="9" width="13.44140625" bestFit="1" customWidth="1"/>
    <col min="11" max="11" width="17.6640625" bestFit="1" customWidth="1"/>
    <col min="12" max="12" width="12.44140625" bestFit="1" customWidth="1"/>
  </cols>
  <sheetData>
    <row r="1" spans="1:17" x14ac:dyDescent="0.3">
      <c r="A1" s="16" t="s">
        <v>48</v>
      </c>
      <c r="B1" s="17"/>
      <c r="C1" s="17"/>
      <c r="D1" s="17"/>
      <c r="E1" s="17"/>
    </row>
    <row r="2" spans="1:17" x14ac:dyDescent="0.3">
      <c r="A2" s="17"/>
      <c r="B2" s="17"/>
      <c r="C2" s="17"/>
      <c r="D2" s="17"/>
      <c r="E2" s="17"/>
      <c r="H2" t="s">
        <v>155</v>
      </c>
    </row>
    <row r="3" spans="1:17" x14ac:dyDescent="0.3">
      <c r="A3" s="17"/>
      <c r="B3" s="17"/>
      <c r="C3" s="17"/>
      <c r="D3" s="17"/>
      <c r="E3" s="17"/>
    </row>
    <row r="4" spans="1:17" x14ac:dyDescent="0.3">
      <c r="A4" s="17"/>
      <c r="B4" s="17"/>
      <c r="C4" s="17"/>
      <c r="D4" s="17"/>
      <c r="E4" s="17"/>
      <c r="G4" t="s">
        <v>64</v>
      </c>
    </row>
    <row r="5" spans="1:17" x14ac:dyDescent="0.3">
      <c r="A5" s="17"/>
      <c r="B5" s="17"/>
      <c r="C5" s="17"/>
      <c r="D5" s="17"/>
      <c r="E5" s="17"/>
      <c r="G5" s="14" t="s">
        <v>118</v>
      </c>
      <c r="H5" t="s">
        <v>153</v>
      </c>
    </row>
    <row r="6" spans="1:17" x14ac:dyDescent="0.3">
      <c r="G6" t="s">
        <v>119</v>
      </c>
      <c r="H6" t="s">
        <v>152</v>
      </c>
    </row>
    <row r="7" spans="1:17" x14ac:dyDescent="0.3">
      <c r="A7" t="s">
        <v>1</v>
      </c>
      <c r="B7" t="s">
        <v>49</v>
      </c>
      <c r="C7" t="s">
        <v>50</v>
      </c>
    </row>
    <row r="8" spans="1:17" x14ac:dyDescent="0.3">
      <c r="A8" t="s">
        <v>19</v>
      </c>
      <c r="B8">
        <v>6.34</v>
      </c>
      <c r="C8">
        <v>3.06</v>
      </c>
      <c r="G8" t="s">
        <v>94</v>
      </c>
    </row>
    <row r="9" spans="1:17" x14ac:dyDescent="0.3">
      <c r="A9" t="s">
        <v>20</v>
      </c>
      <c r="B9">
        <v>5.24</v>
      </c>
      <c r="C9">
        <v>2.97</v>
      </c>
      <c r="G9" t="s">
        <v>154</v>
      </c>
      <c r="H9" t="s">
        <v>157</v>
      </c>
      <c r="Q9" t="s">
        <v>180</v>
      </c>
    </row>
    <row r="10" spans="1:17" x14ac:dyDescent="0.3">
      <c r="A10" t="s">
        <v>21</v>
      </c>
      <c r="B10">
        <v>6.64</v>
      </c>
      <c r="C10">
        <v>4.03</v>
      </c>
      <c r="G10" t="s">
        <v>156</v>
      </c>
    </row>
    <row r="11" spans="1:17" x14ac:dyDescent="0.3">
      <c r="A11" t="s">
        <v>22</v>
      </c>
      <c r="B11">
        <v>5.08</v>
      </c>
      <c r="C11">
        <v>3.17</v>
      </c>
    </row>
    <row r="12" spans="1:17" x14ac:dyDescent="0.3">
      <c r="A12" t="s">
        <v>23</v>
      </c>
      <c r="B12">
        <v>5.61</v>
      </c>
      <c r="C12">
        <v>2.66</v>
      </c>
      <c r="G12" t="s">
        <v>72</v>
      </c>
    </row>
    <row r="13" spans="1:17" x14ac:dyDescent="0.3">
      <c r="A13" t="s">
        <v>24</v>
      </c>
      <c r="B13">
        <v>5.16</v>
      </c>
      <c r="C13">
        <v>3.05</v>
      </c>
      <c r="G13" t="s">
        <v>158</v>
      </c>
    </row>
    <row r="14" spans="1:17" x14ac:dyDescent="0.3">
      <c r="A14" t="s">
        <v>25</v>
      </c>
      <c r="B14">
        <v>5.09</v>
      </c>
      <c r="C14">
        <v>3.46</v>
      </c>
    </row>
    <row r="15" spans="1:17" x14ac:dyDescent="0.3">
      <c r="A15" t="s">
        <v>26</v>
      </c>
      <c r="B15">
        <v>5.59</v>
      </c>
      <c r="C15">
        <v>3.87</v>
      </c>
      <c r="G15" t="s">
        <v>159</v>
      </c>
    </row>
    <row r="16" spans="1:17" ht="15" thickBot="1" x14ac:dyDescent="0.35">
      <c r="A16" t="s">
        <v>27</v>
      </c>
      <c r="B16">
        <v>5.43</v>
      </c>
      <c r="C16">
        <v>3.34</v>
      </c>
    </row>
    <row r="17" spans="1:15" x14ac:dyDescent="0.3">
      <c r="A17" t="s">
        <v>28</v>
      </c>
      <c r="B17">
        <v>5.77</v>
      </c>
      <c r="C17">
        <v>3.4</v>
      </c>
      <c r="G17" s="15" t="s">
        <v>160</v>
      </c>
      <c r="H17" s="15"/>
    </row>
    <row r="18" spans="1:15" x14ac:dyDescent="0.3">
      <c r="A18" t="s">
        <v>29</v>
      </c>
      <c r="B18">
        <v>4.4400000000000004</v>
      </c>
      <c r="C18">
        <v>2.4</v>
      </c>
      <c r="G18" t="s">
        <v>161</v>
      </c>
      <c r="H18" s="12">
        <v>0.64949922669043192</v>
      </c>
      <c r="I18" t="s">
        <v>176</v>
      </c>
      <c r="L18" t="s">
        <v>177</v>
      </c>
    </row>
    <row r="19" spans="1:15" x14ac:dyDescent="0.3">
      <c r="A19" t="s">
        <v>30</v>
      </c>
      <c r="B19">
        <v>6.95</v>
      </c>
      <c r="C19">
        <v>3.53</v>
      </c>
      <c r="G19" t="s">
        <v>162</v>
      </c>
      <c r="H19">
        <v>0.42184924547146907</v>
      </c>
    </row>
    <row r="20" spans="1:15" x14ac:dyDescent="0.3">
      <c r="A20" t="s">
        <v>31</v>
      </c>
      <c r="B20">
        <v>5.7</v>
      </c>
      <c r="C20">
        <v>3.29</v>
      </c>
      <c r="G20" t="s">
        <v>163</v>
      </c>
      <c r="H20">
        <v>0.39556966572017221</v>
      </c>
    </row>
    <row r="21" spans="1:15" x14ac:dyDescent="0.3">
      <c r="A21" t="s">
        <v>32</v>
      </c>
      <c r="B21">
        <v>6.9</v>
      </c>
      <c r="C21">
        <v>3.91</v>
      </c>
      <c r="G21" t="s">
        <v>164</v>
      </c>
      <c r="H21">
        <v>0.34625129788224979</v>
      </c>
    </row>
    <row r="22" spans="1:15" ht="15" thickBot="1" x14ac:dyDescent="0.35">
      <c r="A22" t="s">
        <v>33</v>
      </c>
      <c r="B22">
        <v>5.3</v>
      </c>
      <c r="C22">
        <v>3.29</v>
      </c>
      <c r="G22" s="8" t="s">
        <v>101</v>
      </c>
      <c r="H22" s="8">
        <v>24</v>
      </c>
    </row>
    <row r="23" spans="1:15" x14ac:dyDescent="0.3">
      <c r="A23" t="s">
        <v>34</v>
      </c>
      <c r="B23">
        <v>6.13</v>
      </c>
      <c r="C23">
        <v>3.31</v>
      </c>
    </row>
    <row r="24" spans="1:15" ht="15" thickBot="1" x14ac:dyDescent="0.35">
      <c r="A24" t="s">
        <v>35</v>
      </c>
      <c r="B24">
        <v>7.9</v>
      </c>
      <c r="C24">
        <v>3.81</v>
      </c>
      <c r="G24" t="s">
        <v>131</v>
      </c>
    </row>
    <row r="25" spans="1:15" x14ac:dyDescent="0.3">
      <c r="A25" t="s">
        <v>36</v>
      </c>
      <c r="B25">
        <v>5.53</v>
      </c>
      <c r="C25">
        <v>2.98</v>
      </c>
      <c r="G25" s="9"/>
      <c r="H25" s="9" t="s">
        <v>104</v>
      </c>
      <c r="I25" s="9" t="s">
        <v>133</v>
      </c>
      <c r="J25" s="9" t="s">
        <v>134</v>
      </c>
      <c r="K25" s="9" t="s">
        <v>135</v>
      </c>
      <c r="L25" s="9" t="s">
        <v>168</v>
      </c>
    </row>
    <row r="26" spans="1:15" x14ac:dyDescent="0.3">
      <c r="A26" t="s">
        <v>37</v>
      </c>
      <c r="B26">
        <v>5.2</v>
      </c>
      <c r="C26">
        <v>2.73</v>
      </c>
      <c r="G26" t="s">
        <v>165</v>
      </c>
      <c r="H26">
        <v>1</v>
      </c>
      <c r="I26">
        <v>1.9245166850601998</v>
      </c>
      <c r="J26">
        <v>1.9245166850601998</v>
      </c>
      <c r="K26" s="12">
        <v>16.052358883351296</v>
      </c>
      <c r="L26" s="12">
        <v>5.9360572760876554E-4</v>
      </c>
      <c r="M26" t="s">
        <v>178</v>
      </c>
    </row>
    <row r="27" spans="1:15" x14ac:dyDescent="0.3">
      <c r="A27" t="s">
        <v>38</v>
      </c>
      <c r="B27">
        <v>5.82</v>
      </c>
      <c r="C27">
        <v>3.52</v>
      </c>
      <c r="G27" t="s">
        <v>166</v>
      </c>
      <c r="H27">
        <v>22</v>
      </c>
      <c r="I27">
        <v>2.6375791482731343</v>
      </c>
      <c r="J27">
        <v>0.11988996128514247</v>
      </c>
    </row>
    <row r="28" spans="1:15" ht="15" thickBot="1" x14ac:dyDescent="0.35">
      <c r="A28" t="s">
        <v>39</v>
      </c>
      <c r="B28">
        <v>6.48</v>
      </c>
      <c r="C28">
        <v>2.9</v>
      </c>
      <c r="G28" s="8" t="s">
        <v>140</v>
      </c>
      <c r="H28" s="8">
        <v>23</v>
      </c>
      <c r="I28" s="8">
        <v>4.5620958333333341</v>
      </c>
      <c r="J28" s="8"/>
      <c r="K28" s="8"/>
      <c r="L28" s="8"/>
    </row>
    <row r="29" spans="1:15" ht="15" thickBot="1" x14ac:dyDescent="0.35">
      <c r="A29" t="s">
        <v>40</v>
      </c>
      <c r="B29">
        <v>6.67</v>
      </c>
      <c r="C29">
        <v>3.57</v>
      </c>
    </row>
    <row r="30" spans="1:15" x14ac:dyDescent="0.3">
      <c r="A30" t="s">
        <v>41</v>
      </c>
      <c r="B30">
        <v>7.07</v>
      </c>
      <c r="C30">
        <v>3.96</v>
      </c>
      <c r="G30" s="9"/>
      <c r="H30" s="9" t="s">
        <v>169</v>
      </c>
      <c r="I30" s="9" t="s">
        <v>164</v>
      </c>
      <c r="J30" s="9" t="s">
        <v>105</v>
      </c>
      <c r="K30" s="9" t="s">
        <v>136</v>
      </c>
      <c r="L30" s="9" t="s">
        <v>170</v>
      </c>
      <c r="M30" s="9" t="s">
        <v>171</v>
      </c>
      <c r="N30" s="9" t="s">
        <v>172</v>
      </c>
      <c r="O30" s="9" t="s">
        <v>173</v>
      </c>
    </row>
    <row r="31" spans="1:15" x14ac:dyDescent="0.3">
      <c r="A31" t="s">
        <v>42</v>
      </c>
      <c r="B31">
        <v>6.2</v>
      </c>
      <c r="C31">
        <v>3.94</v>
      </c>
      <c r="G31" t="s">
        <v>167</v>
      </c>
      <c r="H31" s="12">
        <v>1.2280967694066436</v>
      </c>
      <c r="I31">
        <v>0.53172831502077733</v>
      </c>
      <c r="J31">
        <v>2.3096320709546108</v>
      </c>
      <c r="K31">
        <v>3.0677008253992551E-2</v>
      </c>
      <c r="L31">
        <v>0.12535973744306572</v>
      </c>
      <c r="M31">
        <v>2.3308338013702214</v>
      </c>
      <c r="N31">
        <v>0.12535973744306572</v>
      </c>
      <c r="O31">
        <v>2.3308338013702214</v>
      </c>
    </row>
    <row r="32" spans="1:15" ht="15" thickBot="1" x14ac:dyDescent="0.35">
      <c r="A32" t="s">
        <v>150</v>
      </c>
      <c r="B32">
        <v>10</v>
      </c>
      <c r="C32" t="s">
        <v>151</v>
      </c>
      <c r="G32" t="s">
        <v>49</v>
      </c>
      <c r="H32" s="12">
        <v>0.3562688240596214</v>
      </c>
      <c r="I32" s="8">
        <v>8.8921829610549286E-2</v>
      </c>
      <c r="J32" s="8">
        <v>4.006539514762248</v>
      </c>
      <c r="K32" s="10">
        <v>5.9360572760876217E-4</v>
      </c>
      <c r="L32" s="8">
        <v>0.17185623648155252</v>
      </c>
      <c r="M32" s="8">
        <v>0.54068141163769035</v>
      </c>
      <c r="N32" s="8">
        <v>0.17185623648155252</v>
      </c>
      <c r="O32" s="8">
        <v>0.54068141163769035</v>
      </c>
    </row>
    <row r="33" spans="7:11" x14ac:dyDescent="0.3">
      <c r="G33" t="s">
        <v>184</v>
      </c>
      <c r="H33" s="4" t="s">
        <v>183</v>
      </c>
      <c r="K33" t="s">
        <v>179</v>
      </c>
    </row>
    <row r="34" spans="7:11" x14ac:dyDescent="0.3">
      <c r="G34" s="4">
        <v>20</v>
      </c>
      <c r="H34" s="4">
        <f>H31+(G34*0.35)</f>
        <v>8.228096769406644</v>
      </c>
    </row>
    <row r="36" spans="7:11" x14ac:dyDescent="0.3">
      <c r="G36" t="s">
        <v>174</v>
      </c>
    </row>
    <row r="37" spans="7:11" ht="15" thickBot="1" x14ac:dyDescent="0.35"/>
    <row r="38" spans="7:11" x14ac:dyDescent="0.3">
      <c r="G38" s="9" t="s">
        <v>175</v>
      </c>
      <c r="H38" s="9" t="s">
        <v>50</v>
      </c>
    </row>
    <row r="39" spans="7:11" x14ac:dyDescent="0.3">
      <c r="G39">
        <v>2.0833333333333335</v>
      </c>
      <c r="H39">
        <v>2.4</v>
      </c>
    </row>
    <row r="40" spans="7:11" x14ac:dyDescent="0.3">
      <c r="G40">
        <v>6.25</v>
      </c>
      <c r="H40">
        <v>2.66</v>
      </c>
    </row>
    <row r="41" spans="7:11" x14ac:dyDescent="0.3">
      <c r="G41">
        <v>10.416666666666668</v>
      </c>
      <c r="H41">
        <v>2.73</v>
      </c>
    </row>
    <row r="42" spans="7:11" x14ac:dyDescent="0.3">
      <c r="G42">
        <v>14.583333333333334</v>
      </c>
      <c r="H42">
        <v>2.9</v>
      </c>
    </row>
    <row r="43" spans="7:11" x14ac:dyDescent="0.3">
      <c r="G43">
        <v>18.75</v>
      </c>
      <c r="H43">
        <v>2.97</v>
      </c>
    </row>
    <row r="44" spans="7:11" x14ac:dyDescent="0.3">
      <c r="G44">
        <v>22.916666666666668</v>
      </c>
      <c r="H44">
        <v>2.98</v>
      </c>
    </row>
    <row r="45" spans="7:11" x14ac:dyDescent="0.3">
      <c r="G45">
        <v>27.083333333333332</v>
      </c>
      <c r="H45">
        <v>3.05</v>
      </c>
    </row>
    <row r="46" spans="7:11" x14ac:dyDescent="0.3">
      <c r="G46">
        <v>31.25</v>
      </c>
      <c r="H46">
        <v>3.06</v>
      </c>
    </row>
    <row r="47" spans="7:11" x14ac:dyDescent="0.3">
      <c r="G47">
        <v>35.416666666666671</v>
      </c>
      <c r="H47">
        <v>3.17</v>
      </c>
    </row>
    <row r="48" spans="7:11" x14ac:dyDescent="0.3">
      <c r="G48">
        <v>39.583333333333336</v>
      </c>
      <c r="H48">
        <v>3.29</v>
      </c>
    </row>
    <row r="49" spans="7:8" x14ac:dyDescent="0.3">
      <c r="G49">
        <v>43.750000000000007</v>
      </c>
      <c r="H49">
        <v>3.29</v>
      </c>
    </row>
    <row r="50" spans="7:8" x14ac:dyDescent="0.3">
      <c r="G50">
        <v>47.916666666666671</v>
      </c>
      <c r="H50">
        <v>3.31</v>
      </c>
    </row>
    <row r="51" spans="7:8" x14ac:dyDescent="0.3">
      <c r="G51">
        <v>52.083333333333336</v>
      </c>
      <c r="H51">
        <v>3.34</v>
      </c>
    </row>
    <row r="52" spans="7:8" x14ac:dyDescent="0.3">
      <c r="G52">
        <v>56.250000000000007</v>
      </c>
      <c r="H52">
        <v>3.4</v>
      </c>
    </row>
    <row r="53" spans="7:8" x14ac:dyDescent="0.3">
      <c r="G53">
        <v>60.416666666666671</v>
      </c>
      <c r="H53">
        <v>3.46</v>
      </c>
    </row>
    <row r="54" spans="7:8" x14ac:dyDescent="0.3">
      <c r="G54">
        <v>64.583333333333343</v>
      </c>
      <c r="H54">
        <v>3.52</v>
      </c>
    </row>
    <row r="55" spans="7:8" x14ac:dyDescent="0.3">
      <c r="G55">
        <v>68.75</v>
      </c>
      <c r="H55">
        <v>3.53</v>
      </c>
    </row>
    <row r="56" spans="7:8" x14ac:dyDescent="0.3">
      <c r="G56">
        <v>72.916666666666671</v>
      </c>
      <c r="H56">
        <v>3.57</v>
      </c>
    </row>
    <row r="57" spans="7:8" x14ac:dyDescent="0.3">
      <c r="G57">
        <v>77.083333333333329</v>
      </c>
      <c r="H57">
        <v>3.81</v>
      </c>
    </row>
    <row r="58" spans="7:8" x14ac:dyDescent="0.3">
      <c r="G58">
        <v>81.25</v>
      </c>
      <c r="H58">
        <v>3.87</v>
      </c>
    </row>
    <row r="59" spans="7:8" x14ac:dyDescent="0.3">
      <c r="G59">
        <v>85.416666666666671</v>
      </c>
      <c r="H59">
        <v>3.91</v>
      </c>
    </row>
    <row r="60" spans="7:8" x14ac:dyDescent="0.3">
      <c r="G60">
        <v>89.583333333333329</v>
      </c>
      <c r="H60">
        <v>3.94</v>
      </c>
    </row>
    <row r="61" spans="7:8" x14ac:dyDescent="0.3">
      <c r="G61">
        <v>93.75</v>
      </c>
      <c r="H61">
        <v>3.96</v>
      </c>
    </row>
    <row r="62" spans="7:8" ht="15" thickBot="1" x14ac:dyDescent="0.35">
      <c r="G62" s="8">
        <v>97.916666666666671</v>
      </c>
      <c r="H62" s="8">
        <v>4.03</v>
      </c>
    </row>
    <row r="64" spans="7:8" x14ac:dyDescent="0.3">
      <c r="G64" t="s">
        <v>181</v>
      </c>
    </row>
    <row r="65" spans="7:7" x14ac:dyDescent="0.3">
      <c r="G65" t="s">
        <v>182</v>
      </c>
    </row>
  </sheetData>
  <sortState xmlns:xlrd2="http://schemas.microsoft.com/office/spreadsheetml/2017/richdata2" ref="H39:H62">
    <sortCondition ref="H39"/>
  </sortState>
  <mergeCells count="1">
    <mergeCell ref="A1:E5"/>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Fund A vs Fund B Monthly Return</vt:lpstr>
      <vt:lpstr>Interest Rates and Loan Applica</vt:lpstr>
      <vt:lpstr>Sector Monthly Returns Comparis</vt:lpstr>
      <vt:lpstr>Unemployment and Default 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aldarsandesh@outlook.com</cp:lastModifiedBy>
  <dcterms:created xsi:type="dcterms:W3CDTF">2025-11-05T11:11:44Z</dcterms:created>
  <dcterms:modified xsi:type="dcterms:W3CDTF">2026-10-14T16:18:04Z</dcterms:modified>
</cp:coreProperties>
</file>